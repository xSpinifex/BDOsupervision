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F:\DYSK D\excel\projekty\BREMER - ewidencja\"/>
    </mc:Choice>
  </mc:AlternateContent>
  <xr:revisionPtr revIDLastSave="0" documentId="13_ncr:1_{186DCF22-B268-4E6D-8BAA-6545C8D048F2}" xr6:coauthVersionLast="47" xr6:coauthVersionMax="47" xr10:uidLastSave="{00000000-0000-0000-0000-000000000000}"/>
  <bookViews>
    <workbookView xWindow="23730" yWindow="2520" windowWidth="19305" windowHeight="11190" xr2:uid="{71E12638-35AD-4F0E-B067-C6ED40D2DF4B}"/>
  </bookViews>
  <sheets>
    <sheet name="HOME" sheetId="3" r:id="rId1"/>
    <sheet name="Spis KPO" sheetId="1" r:id="rId2"/>
    <sheet name="Budowy" sheetId="2" r:id="rId3"/>
    <sheet name="Weryfikacja KEO" sheetId="5" r:id="rId4"/>
    <sheet name="Historia weryfikacji" sheetId="9" r:id="rId5"/>
    <sheet name="Zestawienia" sheetId="6" r:id="rId6"/>
    <sheet name="Ustawienia" sheetId="4" r:id="rId7"/>
    <sheet name="LOGI" sheetId="8" r:id="rId8"/>
    <sheet name="baza_danych KPO" sheetId="7" state="hidden" r:id="rId9"/>
  </sheets>
  <functionGroups builtInGroupCount="19"/>
  <definedNames>
    <definedName name="_xlnm._FilterDatabase" localSheetId="2" hidden="1">Budowy!$C$21:$J$23</definedName>
    <definedName name="_xlnm._FilterDatabase" localSheetId="4" hidden="1">'Historia weryfikacji'!$C$21:$R$39</definedName>
    <definedName name="_xlnm._FilterDatabase" localSheetId="7" hidden="1">LOGI!$C$20:$H$23</definedName>
    <definedName name="_xlnm._FilterDatabase" localSheetId="1" hidden="1">'Spis KPO'!$C$21:$Q$24</definedName>
    <definedName name="activeRow_Constructions">22</definedName>
    <definedName name="activeRow_ListKPO">22</definedName>
    <definedName name="activeUserName">"Admin"</definedName>
    <definedName name="chosenYear">'Spis KPO'!$L$15</definedName>
    <definedName name="chosenYear_veryfication">'Weryfikacja KEO'!$E$13</definedName>
    <definedName name="con_FullTable">OFFSET(Budowy!$C$21,0,0,COUNTA(Budowy!$C:$C),8)</definedName>
    <definedName name="Count_Con">COUNTA(Budowy!$C:$C)-1</definedName>
    <definedName name="Count_con_ended">COUNTA(Budowy!$J:$J)-1</definedName>
    <definedName name="countOfRecord_listKPO">COUNTA('Spis KPO'!$C:$C)</definedName>
    <definedName name="dataBaseKPO_count">COUNTA('baza_danych KPO'!$C:$C)-1</definedName>
    <definedName name="dataBaseKPO_sum">SUM('baza_danych KPO'!$I:$I)</definedName>
    <definedName name="Fragmentator_Gmina">#N/A</definedName>
    <definedName name="Fragmentator_Nazwa_budowy">#N/A</definedName>
    <definedName name="Fragmentator_ROK">#N/A</definedName>
    <definedName name="Fragmentator_Województwo">#N/A</definedName>
    <definedName name="id_historyVer">MAX('Historia weryfikacji'!$C:$C)</definedName>
    <definedName name="lastID_Con">MAX(Budowy!$C:$C)</definedName>
    <definedName name="max_id_logs">MAX(LOGI!$C:$C)</definedName>
    <definedName name="NatywnaOśCzasu_Data">#N/A</definedName>
    <definedName name="Table_AllKPO">OFFSET('baza_danych KPO'!$C$20,0,0,COUNTA('baza_danych KPO'!$C:$C),COUNTA('baza_danych KPO'!$20:$20))</definedName>
    <definedName name="valueToCopy">'Spis KPO'!$X$7</definedName>
    <definedName name="ver_couter">COUNTA('Historia weryfikacji'!$C:$C)+20</definedName>
    <definedName name="ver_globalStatus">'Weryfikacja KEO'!$J$17</definedName>
    <definedName name="verification_wasteCodeCounter">COUNTA('Weryfikacja KEO'!$D$25:$D$291)</definedName>
    <definedName name="veryfication_areDataInSheet">AND(COUNTA('Weryfikacja KEO'!$E$25:$E$291)=COUNTA('Weryfikacja KEO'!$F$25:$F$291),COUNTA('Weryfikacja KEO'!$D$25:$D$291)=COUNTA('Weryfikacja KEO'!$F$25:$F$291),'Weryfikacja KEO'!$E$18&lt;&gt;"",'Weryfikacja KEO'!$E$19&lt;&gt;"")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15" i="4" l="1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S14" i="3"/>
  <c r="S15" i="3"/>
  <c r="J15" i="3" l="1"/>
  <c r="J14" i="3"/>
  <c r="S8" i="3" l="1"/>
  <c r="E8" i="3"/>
  <c r="J1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5" i="5"/>
  <c r="G19" i="5"/>
  <c r="G18" i="5"/>
  <c r="J17" i="5" l="1"/>
  <c r="I19" i="1"/>
  <c r="I20" i="1"/>
  <c r="AH11" i="4" l="1"/>
  <c r="R11" i="4"/>
  <c r="E10" i="4"/>
  <c r="E9" i="4"/>
  <c r="E8" i="4"/>
  <c r="E7" i="4"/>
  <c r="S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5" authorId="0" shapeId="0" xr:uid="{8FA72562-7CC7-492F-9A2A-59940B762A85}">
      <text>
        <r>
          <rPr>
            <sz val="9"/>
            <color indexed="81"/>
            <rFont val="Tahoma"/>
            <family val="2"/>
            <charset val="238"/>
          </rPr>
          <t xml:space="preserve">Program definiuje ROK KPO według tego roku Czyli gdy mamy wybrany 2023 - KPO są wprowadzane na rok 2023 - nie zależnie od daty na KPO.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17" authorId="0" shapeId="0" xr:uid="{96757575-CED1-4A31-96F6-06049C19CEFD}">
      <text>
        <r>
          <rPr>
            <b/>
            <sz val="9"/>
            <color indexed="81"/>
            <rFont val="Tahoma"/>
            <family val="2"/>
            <charset val="238"/>
          </rPr>
          <t xml:space="preserve">do uzupełnienia
</t>
        </r>
      </text>
    </comment>
    <comment ref="E24" authorId="0" shapeId="0" xr:uid="{A31F20EE-9F68-49EA-B746-AE5C19C10B3B}">
      <text>
        <r>
          <rPr>
            <b/>
            <sz val="9"/>
            <color indexed="81"/>
            <rFont val="Tahoma"/>
            <family val="2"/>
            <charset val="238"/>
          </rPr>
          <t>do uzupełnienia</t>
        </r>
      </text>
    </comment>
    <comment ref="F24" authorId="0" shapeId="0" xr:uid="{A6CC8284-3F21-49C7-A917-AD8AE9DEC7CE}">
      <text>
        <r>
          <rPr>
            <b/>
            <sz val="9"/>
            <color indexed="81"/>
            <rFont val="Tahoma"/>
            <family val="2"/>
            <charset val="238"/>
          </rPr>
          <t>do uzupełnienia</t>
        </r>
      </text>
    </comment>
    <comment ref="G24" authorId="0" shapeId="0" xr:uid="{CF089819-E941-4641-AC67-7A41DC8A2FFB}">
      <text>
        <r>
          <rPr>
            <b/>
            <sz val="9"/>
            <color indexed="81"/>
            <rFont val="Tahoma"/>
            <family val="2"/>
            <charset val="238"/>
          </rPr>
          <t xml:space="preserve">suma masy dodanej - niezależnie od statusu "dodano do KEO"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C11" authorId="0" shapeId="0" xr:uid="{9317EA6C-F18E-46E2-B326-E4E74660FABB}">
      <text>
        <r>
          <rPr>
            <sz val="9"/>
            <color indexed="81"/>
            <rFont val="Tahoma"/>
            <family val="2"/>
            <charset val="238"/>
          </rPr>
          <t>W tej kolumnie znajduje się formuła automatycznie ustanawiająca nazwe Województwa, jeśli chcesz możesz ręcznie zmienic tą nazw</t>
        </r>
        <r>
          <rPr>
            <b/>
            <sz val="9"/>
            <color indexed="81"/>
            <rFont val="Tahoma"/>
            <family val="2"/>
            <charset val="238"/>
          </rPr>
          <t>e</t>
        </r>
      </text>
    </comment>
  </commentList>
</comments>
</file>

<file path=xl/sharedStrings.xml><?xml version="1.0" encoding="utf-8"?>
<sst xmlns="http://schemas.openxmlformats.org/spreadsheetml/2006/main" count="168" uniqueCount="127">
  <si>
    <t>Numer KPO</t>
  </si>
  <si>
    <t>Kod odpadu</t>
  </si>
  <si>
    <t>Masa</t>
  </si>
  <si>
    <t>Budowa</t>
  </si>
  <si>
    <t>ID</t>
  </si>
  <si>
    <t>Nr_budowy</t>
  </si>
  <si>
    <t>Nazwa budowy</t>
  </si>
  <si>
    <t>Gmina</t>
  </si>
  <si>
    <t>Województwo</t>
  </si>
  <si>
    <t>Transportujący</t>
  </si>
  <si>
    <t>Przyjmujący</t>
  </si>
  <si>
    <t>Status</t>
  </si>
  <si>
    <t>Czy dodano KEO wytworzenie</t>
  </si>
  <si>
    <t>Czy dodano KEO - przekazanie</t>
  </si>
  <si>
    <t>HOME</t>
  </si>
  <si>
    <t>ROK</t>
  </si>
  <si>
    <t>Wybrany rok:</t>
  </si>
  <si>
    <t>Status_rekordu</t>
  </si>
  <si>
    <t>Suma masy</t>
  </si>
  <si>
    <t>Szybkie szczegóły dotyczace budowy</t>
  </si>
  <si>
    <t>kod odpadu</t>
  </si>
  <si>
    <t>15 01 01</t>
  </si>
  <si>
    <t>Data</t>
  </si>
  <si>
    <t>17 09 04</t>
  </si>
  <si>
    <t>Data rozp.</t>
  </si>
  <si>
    <t>Data zakończenia</t>
  </si>
  <si>
    <t>MENU</t>
  </si>
  <si>
    <t>gmina</t>
  </si>
  <si>
    <t>województwo</t>
  </si>
  <si>
    <t>Budowa_ID</t>
  </si>
  <si>
    <t xml:space="preserve">Jesteś zalogowany jako: </t>
  </si>
  <si>
    <t>Dzisiaj jest:</t>
  </si>
  <si>
    <t>USTAWIENIA!</t>
  </si>
  <si>
    <t>KODY ODPADÓW</t>
  </si>
  <si>
    <t>GMINY</t>
  </si>
  <si>
    <t>KOPIA ZAPASOWA</t>
  </si>
  <si>
    <t>Zdefiniuj kody odpadów jakie będą dostępne do wyboru w innych formularzach</t>
  </si>
  <si>
    <t>KOD ODPADU</t>
  </si>
  <si>
    <t>opis</t>
  </si>
  <si>
    <t>Ilość zdefiniowanych kodów:</t>
  </si>
  <si>
    <t>Pamiętaj aby kody odpadów umieszczać jeden pod drugim!</t>
  </si>
  <si>
    <t>N A D Z Ó R   N A D   E W I D E N C J Ą    B D O</t>
  </si>
  <si>
    <t>NAZWA</t>
  </si>
  <si>
    <t>KOPIA BDO</t>
  </si>
  <si>
    <t>Zdefiniuj GMINY i POŁĄCZ JE Z BDO</t>
  </si>
  <si>
    <t>Pamiętaj aby rekordy umieszczać jeden pod drugim!</t>
  </si>
  <si>
    <t>Ilość zdefiniowanych gmin:</t>
  </si>
  <si>
    <t>Ostatnia wykonana kopia:</t>
  </si>
  <si>
    <t>Ścieżka wykonywania kopii:</t>
  </si>
  <si>
    <t>C:\Users\admin\Documents\1</t>
  </si>
  <si>
    <t>Własna ścieżka dla  kopii:</t>
  </si>
  <si>
    <t>F:\DYSK D\excel\projekty\BREMER - ewidencja\BACKUP\</t>
  </si>
  <si>
    <t>INNE USTAWIENIA</t>
  </si>
  <si>
    <t>S P I S    B U D Ó W</t>
  </si>
  <si>
    <t>Edycja nazwy gminy nie spowoduje edycji nazw</t>
  </si>
  <si>
    <t>w istniejących już budowach.</t>
  </si>
  <si>
    <t>Po edycji nazwy w ustawieniach - należy edytować</t>
  </si>
  <si>
    <t>budowę.</t>
  </si>
  <si>
    <t>S P I S   K A R T   P R Z E K A Z A N I A</t>
  </si>
  <si>
    <t>BUDOWY</t>
  </si>
  <si>
    <t>Imie i Nazwisko BDO</t>
  </si>
  <si>
    <t>Gmina z BDO</t>
  </si>
  <si>
    <t>B A Z A    D A N Y C H    K P O</t>
  </si>
  <si>
    <t>KPO - czy poprawna</t>
  </si>
  <si>
    <t>Potwierdzony Transport</t>
  </si>
  <si>
    <t>imie i nazwisko BDO</t>
  </si>
  <si>
    <t>Suma Masa</t>
  </si>
  <si>
    <t>Liczba Kart</t>
  </si>
  <si>
    <t>sumy częściowe</t>
  </si>
  <si>
    <t>Zrealizowane przejęcie</t>
  </si>
  <si>
    <t>Ilość KPO</t>
  </si>
  <si>
    <t>W E R Y F I K A C J A</t>
  </si>
  <si>
    <t>Weryfkacja - narzędzie</t>
  </si>
  <si>
    <t>Ilość kart</t>
  </si>
  <si>
    <t>Ilość KPO - baza</t>
  </si>
  <si>
    <t>Ilość KPO - BDO</t>
  </si>
  <si>
    <t>Wpisy na Kartach Ewidencji</t>
  </si>
  <si>
    <t>Wytworzone KEO - BDO [Mg]</t>
  </si>
  <si>
    <t>Przekazane KEO - BDO [Mg]</t>
  </si>
  <si>
    <t>H I S TO R I A    Z A P I S A N Y C H    W E R Y F I K A C J I</t>
  </si>
  <si>
    <t>Globalny Status:</t>
  </si>
  <si>
    <t>Masa - Excel Baza [Mg]</t>
  </si>
  <si>
    <t>Active</t>
  </si>
  <si>
    <t>Wybrany Rok</t>
  </si>
  <si>
    <t>Użytkownik</t>
  </si>
  <si>
    <t>Globalny status weryfikacji</t>
  </si>
  <si>
    <t>id</t>
  </si>
  <si>
    <t>Status - kod odpadu</t>
  </si>
  <si>
    <t>Czy uzupełniono dane</t>
  </si>
  <si>
    <t>Suma z Masa</t>
  </si>
  <si>
    <t>Etykiety wierszy</t>
  </si>
  <si>
    <t>Suma końcowa</t>
  </si>
  <si>
    <t>Etykiety kolumn</t>
  </si>
  <si>
    <t xml:space="preserve">      Z E S T A W I E N I E</t>
  </si>
  <si>
    <t xml:space="preserve"> </t>
  </si>
  <si>
    <t>LP</t>
  </si>
  <si>
    <t>Akcja</t>
  </si>
  <si>
    <t>użytkownik</t>
  </si>
  <si>
    <t>Tabela</t>
  </si>
  <si>
    <t>Dane</t>
  </si>
  <si>
    <t xml:space="preserve">L O G I </t>
  </si>
  <si>
    <t>DOKUMENTACJA</t>
  </si>
  <si>
    <t>Ilość budów</t>
  </si>
  <si>
    <t>Ilość zakończonych budów</t>
  </si>
  <si>
    <t>Globalna ilość KPO</t>
  </si>
  <si>
    <t>Łączna ilość</t>
  </si>
  <si>
    <t>Łączna masa odpadów</t>
  </si>
  <si>
    <t>Autor programu:</t>
  </si>
  <si>
    <t>Marcin Maćkowiak</t>
  </si>
  <si>
    <t>608576612</t>
  </si>
  <si>
    <t>Ikony pochodzą ze strony: https://www.flaticon.com/</t>
  </si>
  <si>
    <t>www.kurs-bdo.pl</t>
  </si>
  <si>
    <t xml:space="preserve">SPIS KPO                               </t>
  </si>
  <si>
    <t xml:space="preserve">BUDOWY                               </t>
  </si>
  <si>
    <t xml:space="preserve">WERYFIKACJA KEO                 </t>
  </si>
  <si>
    <t xml:space="preserve">      Historia Weryfikacji       </t>
  </si>
  <si>
    <t xml:space="preserve">USTAWIENIA                       </t>
  </si>
  <si>
    <t xml:space="preserve">ZESTAWIENIA                         </t>
  </si>
  <si>
    <t xml:space="preserve">     Logi                                  </t>
  </si>
  <si>
    <t>15 01 02</t>
  </si>
  <si>
    <t>Słoneczne domki</t>
  </si>
  <si>
    <t>Deszczowe domki 2</t>
  </si>
  <si>
    <t>28-04-2023</t>
  </si>
  <si>
    <t>Kopia Zapasowa</t>
  </si>
  <si>
    <t>Admin</t>
  </si>
  <si>
    <t>-</t>
  </si>
  <si>
    <t>Logowanie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</si>
</sst>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u/>
      <sz val="2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9"/>
      <color theme="1"/>
      <name val="Calibri"/>
      <family val="2"/>
      <charset val="238"/>
      <scheme val="minor"/>
    </font>
    <font>
      <b/>
      <sz val="15"/>
      <color theme="1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8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5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sz val="11"/>
      <name val="Calibri"/>
      <family val="2"/>
      <scheme val="minor"/>
    </font>
    <font>
      <b/>
      <u/>
      <sz val="16"/>
      <name val="Calibri"/>
      <family val="2"/>
      <scheme val="minor"/>
    </font>
    <font>
      <sz val="8"/>
      <color theme="0"/>
      <name val="Calibri"/>
      <family val="2"/>
      <charset val="238"/>
      <scheme val="minor"/>
    </font>
    <font>
      <sz val="6"/>
      <color theme="1"/>
      <name val="Calibri"/>
      <family val="2"/>
      <scheme val="minor"/>
    </font>
    <font>
      <u/>
      <sz val="10"/>
      <color theme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4"/>
      <color rgb="FF008000"/>
      <name val="Calibri"/>
      <family val="2"/>
      <charset val="238"/>
    </font>
    <font>
      <b/>
      <sz val="14"/>
      <color rgb="FF0000FF"/>
      <name val="Calibri"/>
      <family val="2"/>
      <charset val="238"/>
    </font>
    <font>
      <b/>
      <sz val="14"/>
      <color rgb="FFFF0000"/>
      <name val="Calibri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AE9FE"/>
        <bgColor indexed="64"/>
      </patternFill>
    </fill>
  </fills>
  <borders count="45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1" tint="0.249977111117893"/>
      </left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5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quotePrefix="1" applyBorder="1" applyAlignment="1">
      <alignment wrapText="1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0" xfId="0" applyFill="1"/>
    <xf numFmtId="0" fontId="5" fillId="4" borderId="0" xfId="0" applyFont="1" applyFill="1"/>
    <xf numFmtId="0" fontId="0" fillId="4" borderId="2" xfId="0" applyFill="1" applyBorder="1"/>
    <xf numFmtId="0" fontId="6" fillId="0" borderId="3" xfId="0" applyFont="1" applyBorder="1"/>
    <xf numFmtId="0" fontId="2" fillId="0" borderId="3" xfId="0" applyFont="1" applyBorder="1"/>
    <xf numFmtId="0" fontId="0" fillId="5" borderId="0" xfId="0" applyFill="1"/>
    <xf numFmtId="0" fontId="0" fillId="5" borderId="4" xfId="0" applyFill="1" applyBorder="1"/>
    <xf numFmtId="0" fontId="1" fillId="5" borderId="0" xfId="0" applyFont="1" applyFill="1"/>
    <xf numFmtId="0" fontId="8" fillId="5" borderId="5" xfId="0" applyFont="1" applyFill="1" applyBorder="1"/>
    <xf numFmtId="0" fontId="1" fillId="5" borderId="6" xfId="1" applyFont="1" applyFill="1" applyBorder="1" applyAlignment="1">
      <alignment wrapText="1"/>
    </xf>
    <xf numFmtId="0" fontId="4" fillId="6" borderId="6" xfId="1" applyFont="1" applyFill="1" applyBorder="1" applyAlignment="1">
      <alignment wrapText="1"/>
    </xf>
    <xf numFmtId="0" fontId="0" fillId="7" borderId="7" xfId="0" applyFill="1" applyBorder="1"/>
    <xf numFmtId="0" fontId="0" fillId="7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9" fillId="5" borderId="0" xfId="0" applyFont="1" applyFill="1"/>
    <xf numFmtId="0" fontId="0" fillId="5" borderId="3" xfId="0" applyFill="1" applyBorder="1"/>
    <xf numFmtId="0" fontId="1" fillId="3" borderId="13" xfId="0" applyFont="1" applyFill="1" applyBorder="1"/>
    <xf numFmtId="0" fontId="0" fillId="4" borderId="13" xfId="0" applyFill="1" applyBorder="1"/>
    <xf numFmtId="0" fontId="0" fillId="4" borderId="17" xfId="0" applyFill="1" applyBorder="1"/>
    <xf numFmtId="0" fontId="0" fillId="4" borderId="3" xfId="0" applyFill="1" applyBorder="1"/>
    <xf numFmtId="0" fontId="0" fillId="4" borderId="18" xfId="0" applyFill="1" applyBorder="1"/>
    <xf numFmtId="0" fontId="0" fillId="4" borderId="13" xfId="0" applyFill="1" applyBorder="1" applyProtection="1">
      <protection locked="0"/>
    </xf>
    <xf numFmtId="0" fontId="14" fillId="4" borderId="13" xfId="0" applyFont="1" applyFill="1" applyBorder="1" applyAlignment="1" applyProtection="1">
      <alignment wrapText="1"/>
      <protection locked="0"/>
    </xf>
    <xf numFmtId="0" fontId="11" fillId="4" borderId="13" xfId="0" applyFont="1" applyFill="1" applyBorder="1" applyAlignment="1" applyProtection="1">
      <alignment wrapText="1"/>
      <protection locked="0"/>
    </xf>
    <xf numFmtId="0" fontId="10" fillId="4" borderId="13" xfId="0" applyFont="1" applyFill="1" applyBorder="1" applyAlignment="1" applyProtection="1">
      <alignment wrapText="1"/>
      <protection locked="0"/>
    </xf>
    <xf numFmtId="0" fontId="15" fillId="5" borderId="0" xfId="0" applyFont="1" applyFill="1"/>
    <xf numFmtId="0" fontId="3" fillId="5" borderId="0" xfId="0" applyFont="1" applyFill="1"/>
    <xf numFmtId="0" fontId="0" fillId="5" borderId="2" xfId="0" applyFill="1" applyBorder="1"/>
    <xf numFmtId="14" fontId="0" fillId="0" borderId="1" xfId="0" applyNumberFormat="1" applyBorder="1" applyAlignment="1">
      <alignment wrapText="1"/>
    </xf>
    <xf numFmtId="14" fontId="0" fillId="0" borderId="1" xfId="0" applyNumberFormat="1" applyBorder="1"/>
    <xf numFmtId="0" fontId="0" fillId="0" borderId="0" xfId="0" applyAlignment="1">
      <alignment horizontal="center" vertical="center"/>
    </xf>
    <xf numFmtId="0" fontId="7" fillId="0" borderId="0" xfId="1"/>
    <xf numFmtId="0" fontId="0" fillId="0" borderId="19" xfId="0" applyBorder="1"/>
    <xf numFmtId="0" fontId="0" fillId="0" borderId="19" xfId="0" applyBorder="1" applyAlignment="1">
      <alignment wrapText="1"/>
    </xf>
    <xf numFmtId="0" fontId="0" fillId="2" borderId="19" xfId="0" applyFill="1" applyBorder="1" applyAlignment="1">
      <alignment wrapText="1"/>
    </xf>
    <xf numFmtId="0" fontId="16" fillId="0" borderId="0" xfId="0" applyFont="1" applyAlignment="1">
      <alignment horizontal="right"/>
    </xf>
    <xf numFmtId="0" fontId="18" fillId="5" borderId="19" xfId="0" applyFont="1" applyFill="1" applyBorder="1" applyAlignment="1">
      <alignment horizontal="center" vertical="center"/>
    </xf>
    <xf numFmtId="14" fontId="0" fillId="0" borderId="19" xfId="0" applyNumberFormat="1" applyBorder="1"/>
    <xf numFmtId="0" fontId="18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8" fillId="3" borderId="20" xfId="0" applyFont="1" applyFill="1" applyBorder="1" applyAlignment="1">
      <alignment wrapText="1"/>
    </xf>
    <xf numFmtId="0" fontId="19" fillId="0" borderId="1" xfId="0" applyFont="1" applyBorder="1" applyAlignment="1">
      <alignment wrapText="1"/>
    </xf>
    <xf numFmtId="0" fontId="19" fillId="0" borderId="0" xfId="0" applyFont="1" applyAlignment="1">
      <alignment wrapText="1"/>
    </xf>
    <xf numFmtId="0" fontId="18" fillId="8" borderId="19" xfId="0" applyFont="1" applyFill="1" applyBorder="1"/>
    <xf numFmtId="0" fontId="0" fillId="5" borderId="22" xfId="0" applyFill="1" applyBorder="1"/>
    <xf numFmtId="0" fontId="0" fillId="5" borderId="23" xfId="0" applyFill="1" applyBorder="1" applyAlignment="1">
      <alignment horizontal="right"/>
    </xf>
    <xf numFmtId="0" fontId="0" fillId="5" borderId="23" xfId="0" applyFill="1" applyBorder="1"/>
    <xf numFmtId="0" fontId="1" fillId="5" borderId="24" xfId="0" applyFont="1" applyFill="1" applyBorder="1" applyAlignment="1">
      <alignment horizontal="right"/>
    </xf>
    <xf numFmtId="0" fontId="0" fillId="5" borderId="25" xfId="0" applyFill="1" applyBorder="1"/>
    <xf numFmtId="0" fontId="0" fillId="5" borderId="4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 applyAlignment="1">
      <alignment wrapText="1"/>
    </xf>
    <xf numFmtId="0" fontId="0" fillId="4" borderId="19" xfId="0" applyFill="1" applyBorder="1"/>
    <xf numFmtId="0" fontId="20" fillId="5" borderId="0" xfId="0" applyFont="1" applyFill="1"/>
    <xf numFmtId="0" fontId="0" fillId="3" borderId="19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 wrapText="1"/>
    </xf>
    <xf numFmtId="0" fontId="11" fillId="3" borderId="19" xfId="0" applyFont="1" applyFill="1" applyBorder="1" applyAlignment="1">
      <alignment horizontal="center" vertical="center" wrapText="1"/>
    </xf>
    <xf numFmtId="0" fontId="17" fillId="0" borderId="0" xfId="0" applyFont="1"/>
    <xf numFmtId="0" fontId="21" fillId="5" borderId="0" xfId="0" applyFont="1" applyFill="1" applyAlignment="1">
      <alignment horizontal="left" vertical="center"/>
    </xf>
    <xf numFmtId="0" fontId="18" fillId="4" borderId="19" xfId="0" applyFont="1" applyFill="1" applyBorder="1" applyAlignment="1">
      <alignment horizontal="center" vertical="center"/>
    </xf>
    <xf numFmtId="0" fontId="0" fillId="2" borderId="19" xfId="0" applyFill="1" applyBorder="1" applyProtection="1">
      <protection locked="0"/>
    </xf>
    <xf numFmtId="0" fontId="0" fillId="5" borderId="26" xfId="0" applyFill="1" applyBorder="1"/>
    <xf numFmtId="0" fontId="0" fillId="5" borderId="0" xfId="0" applyFill="1" applyAlignment="1">
      <alignment horizontal="right" vertical="center"/>
    </xf>
    <xf numFmtId="0" fontId="18" fillId="4" borderId="21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right"/>
    </xf>
    <xf numFmtId="0" fontId="0" fillId="4" borderId="19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22" fillId="9" borderId="19" xfId="0" applyFont="1" applyFill="1" applyBorder="1" applyAlignment="1">
      <alignment horizontal="center" vertical="center" wrapText="1"/>
    </xf>
    <xf numFmtId="0" fontId="0" fillId="3" borderId="19" xfId="0" applyFill="1" applyBorder="1"/>
    <xf numFmtId="0" fontId="0" fillId="3" borderId="19" xfId="0" applyFill="1" applyBorder="1" applyAlignment="1">
      <alignment wrapText="1"/>
    </xf>
    <xf numFmtId="0" fontId="11" fillId="3" borderId="19" xfId="0" applyFont="1" applyFill="1" applyBorder="1" applyAlignment="1">
      <alignment wrapText="1"/>
    </xf>
    <xf numFmtId="0" fontId="22" fillId="2" borderId="19" xfId="0" applyFont="1" applyFill="1" applyBorder="1" applyAlignment="1">
      <alignment horizontal="center" vertical="center" wrapText="1"/>
    </xf>
    <xf numFmtId="0" fontId="22" fillId="10" borderId="19" xfId="0" applyFont="1" applyFill="1" applyBorder="1" applyAlignment="1">
      <alignment horizontal="center" vertical="center" wrapText="1"/>
    </xf>
    <xf numFmtId="0" fontId="0" fillId="9" borderId="19" xfId="0" applyFill="1" applyBorder="1" applyAlignment="1">
      <alignment vertical="center" wrapText="1"/>
    </xf>
    <xf numFmtId="22" fontId="0" fillId="0" borderId="19" xfId="0" applyNumberFormat="1" applyBorder="1"/>
    <xf numFmtId="0" fontId="2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15" fillId="8" borderId="0" xfId="0" applyFont="1" applyFill="1"/>
    <xf numFmtId="0" fontId="0" fillId="8" borderId="2" xfId="0" applyFill="1" applyBorder="1"/>
    <xf numFmtId="22" fontId="0" fillId="0" borderId="0" xfId="0" applyNumberFormat="1"/>
    <xf numFmtId="0" fontId="24" fillId="8" borderId="28" xfId="0" applyFont="1" applyFill="1" applyBorder="1"/>
    <xf numFmtId="0" fontId="24" fillId="8" borderId="29" xfId="0" applyFont="1" applyFill="1" applyBorder="1"/>
    <xf numFmtId="0" fontId="24" fillId="8" borderId="30" xfId="0" applyFont="1" applyFill="1" applyBorder="1"/>
    <xf numFmtId="0" fontId="24" fillId="8" borderId="31" xfId="0" applyFont="1" applyFill="1" applyBorder="1"/>
    <xf numFmtId="0" fontId="24" fillId="8" borderId="0" xfId="0" applyFont="1" applyFill="1"/>
    <xf numFmtId="0" fontId="25" fillId="8" borderId="0" xfId="0" applyFont="1" applyFill="1"/>
    <xf numFmtId="0" fontId="24" fillId="8" borderId="32" xfId="0" applyFont="1" applyFill="1" applyBorder="1"/>
    <xf numFmtId="0" fontId="24" fillId="8" borderId="0" xfId="0" applyFont="1" applyFill="1" applyAlignment="1">
      <alignment horizontal="right"/>
    </xf>
    <xf numFmtId="0" fontId="24" fillId="4" borderId="33" xfId="0" applyFont="1" applyFill="1" applyBorder="1"/>
    <xf numFmtId="0" fontId="24" fillId="8" borderId="34" xfId="0" applyFont="1" applyFill="1" applyBorder="1"/>
    <xf numFmtId="0" fontId="24" fillId="8" borderId="35" xfId="0" applyFont="1" applyFill="1" applyBorder="1"/>
    <xf numFmtId="0" fontId="24" fillId="8" borderId="36" xfId="0" applyFont="1" applyFill="1" applyBorder="1"/>
    <xf numFmtId="0" fontId="0" fillId="11" borderId="28" xfId="0" applyFill="1" applyBorder="1"/>
    <xf numFmtId="0" fontId="0" fillId="11" borderId="29" xfId="0" applyFill="1" applyBorder="1"/>
    <xf numFmtId="0" fontId="0" fillId="11" borderId="30" xfId="0" applyFill="1" applyBorder="1"/>
    <xf numFmtId="0" fontId="0" fillId="11" borderId="31" xfId="0" applyFill="1" applyBorder="1"/>
    <xf numFmtId="0" fontId="0" fillId="11" borderId="0" xfId="0" applyFill="1"/>
    <xf numFmtId="0" fontId="25" fillId="11" borderId="0" xfId="0" applyFont="1" applyFill="1"/>
    <xf numFmtId="0" fontId="0" fillId="11" borderId="32" xfId="0" applyFill="1" applyBorder="1"/>
    <xf numFmtId="0" fontId="0" fillId="11" borderId="0" xfId="0" applyFill="1" applyAlignment="1">
      <alignment horizontal="right"/>
    </xf>
    <xf numFmtId="0" fontId="0" fillId="11" borderId="34" xfId="0" applyFill="1" applyBorder="1"/>
    <xf numFmtId="0" fontId="0" fillId="11" borderId="35" xfId="0" applyFill="1" applyBorder="1"/>
    <xf numFmtId="0" fontId="0" fillId="11" borderId="36" xfId="0" applyFill="1" applyBorder="1"/>
    <xf numFmtId="0" fontId="24" fillId="12" borderId="28" xfId="0" applyFont="1" applyFill="1" applyBorder="1"/>
    <xf numFmtId="0" fontId="0" fillId="12" borderId="29" xfId="0" applyFill="1" applyBorder="1"/>
    <xf numFmtId="0" fontId="24" fillId="12" borderId="31" xfId="0" applyFont="1" applyFill="1" applyBorder="1"/>
    <xf numFmtId="0" fontId="0" fillId="12" borderId="0" xfId="0" applyFill="1"/>
    <xf numFmtId="0" fontId="25" fillId="12" borderId="0" xfId="0" applyFont="1" applyFill="1"/>
    <xf numFmtId="0" fontId="24" fillId="12" borderId="34" xfId="0" applyFont="1" applyFill="1" applyBorder="1"/>
    <xf numFmtId="0" fontId="0" fillId="12" borderId="35" xfId="0" applyFill="1" applyBorder="1"/>
    <xf numFmtId="0" fontId="26" fillId="0" borderId="0" xfId="0" applyFont="1" applyProtection="1">
      <protection locked="0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49" fontId="0" fillId="0" borderId="0" xfId="0" applyNumberFormat="1"/>
    <xf numFmtId="0" fontId="0" fillId="0" borderId="42" xfId="0" applyBorder="1"/>
    <xf numFmtId="0" fontId="27" fillId="0" borderId="43" xfId="0" applyFont="1" applyBorder="1"/>
    <xf numFmtId="0" fontId="0" fillId="0" borderId="43" xfId="0" applyBorder="1"/>
    <xf numFmtId="0" fontId="0" fillId="0" borderId="44" xfId="0" applyBorder="1"/>
    <xf numFmtId="0" fontId="28" fillId="0" borderId="0" xfId="1" applyFont="1" applyBorder="1"/>
    <xf numFmtId="0" fontId="29" fillId="5" borderId="4" xfId="0" applyFont="1" applyFill="1" applyBorder="1"/>
    <xf numFmtId="0" fontId="29" fillId="5" borderId="4" xfId="1" applyFont="1" applyFill="1" applyBorder="1"/>
    <xf numFmtId="0" fontId="0" fillId="0" borderId="35" xfId="0" applyBorder="1"/>
    <xf numFmtId="0" fontId="0" fillId="12" borderId="30" xfId="0" applyFill="1" applyBorder="1"/>
    <xf numFmtId="0" fontId="0" fillId="12" borderId="32" xfId="0" applyFill="1" applyBorder="1"/>
    <xf numFmtId="0" fontId="0" fillId="12" borderId="36" xfId="0" applyFill="1" applyBorder="1"/>
    <xf numFmtId="14" fontId="0" fillId="0" borderId="0" xfId="0" applyNumberFormat="1" applyAlignment="1">
      <alignment horizontal="left"/>
    </xf>
    <xf numFmtId="0" fontId="1" fillId="4" borderId="0" xfId="0" applyFont="1" applyFill="1" applyAlignment="1">
      <alignment horizontal="center"/>
    </xf>
    <xf numFmtId="0" fontId="10" fillId="2" borderId="15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left" vertical="top" wrapText="1"/>
    </xf>
    <xf numFmtId="0" fontId="1" fillId="4" borderId="0" xfId="0" applyFont="1" applyFill="1" applyAlignment="1">
      <alignment horizontal="left" vertical="center" wrapText="1"/>
    </xf>
    <xf numFmtId="22" fontId="11" fillId="4" borderId="14" xfId="0" applyNumberFormat="1" applyFont="1" applyFill="1" applyBorder="1" applyAlignment="1">
      <alignment horizontal="center"/>
    </xf>
    <xf numFmtId="0" fontId="0" fillId="0" borderId="0" xfId="0" applyNumberFormat="1"/>
  </cellXfs>
  <cellStyles count="2">
    <cellStyle name="Hiperłącze" xfId="1" builtinId="8"/>
    <cellStyle name="Normalny" xfId="0" builtinId="0"/>
  </cellStyles>
  <dxfs count="2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rgb="FFFFFBEF"/>
        </patternFill>
      </fill>
    </dxf>
    <dxf>
      <fill>
        <patternFill>
          <bgColor theme="9" tint="0.59996337778862885"/>
        </patternFill>
      </fill>
    </dxf>
    <dxf>
      <fill>
        <patternFill>
          <bgColor rgb="FFFFCDCD"/>
        </patternFill>
      </fill>
    </dxf>
    <dxf>
      <fill>
        <patternFill>
          <bgColor rgb="FFFFFBEF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B2B2B2"/>
      <color rgb="FFFFBC9B"/>
      <color rgb="FFBC3F00"/>
      <color rgb="FF993300"/>
      <color rgb="FFFFCDCD"/>
      <color rgb="FFFFFBEF"/>
      <color rgb="FFD1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[Nadzór nad Ewidencja odpadów BDO.xlsm]Zestawienia!Tabela przestawna1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Zestawienia!$D$34:$D$35</c:f>
              <c:strCache>
                <c:ptCount val="1"/>
                <c:pt idx="0">
                  <c:v>Słoneczne domki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Zestawienia!$C$36:$C$39</c:f>
              <c:strCache>
                <c:ptCount val="3"/>
                <c:pt idx="0">
                  <c:v>15 01 01</c:v>
                </c:pt>
                <c:pt idx="1">
                  <c:v>17 09 04</c:v>
                </c:pt>
                <c:pt idx="2">
                  <c:v>15 01 02</c:v>
                </c:pt>
              </c:strCache>
            </c:strRef>
          </c:cat>
          <c:val>
            <c:numRef>
              <c:f>Zestawienia!$D$36:$D$39</c:f>
              <c:numCache>
                <c:formatCode>General</c:formatCode>
                <c:ptCount val="3"/>
                <c:pt idx="0">
                  <c:v>12.5</c:v>
                </c:pt>
                <c:pt idx="1">
                  <c:v>122.99</c:v>
                </c:pt>
                <c:pt idx="2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2-4BFD-B4C3-3C4EFF4FC115}"/>
            </c:ext>
          </c:extLst>
        </c:ser>
        <c:ser>
          <c:idx val="1"/>
          <c:order val="1"/>
          <c:tx>
            <c:strRef>
              <c:f>Zestawienia!$E$34:$E$35</c:f>
              <c:strCache>
                <c:ptCount val="1"/>
                <c:pt idx="0">
                  <c:v>Deszczowe domki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Zestawienia!$C$36:$C$39</c:f>
              <c:strCache>
                <c:ptCount val="3"/>
                <c:pt idx="0">
                  <c:v>15 01 01</c:v>
                </c:pt>
                <c:pt idx="1">
                  <c:v>17 09 04</c:v>
                </c:pt>
                <c:pt idx="2">
                  <c:v>15 01 02</c:v>
                </c:pt>
              </c:strCache>
            </c:strRef>
          </c:cat>
          <c:val>
            <c:numRef>
              <c:f>Zestawienia!$E$36:$E$39</c:f>
              <c:numCache>
                <c:formatCode>General</c:formatCode>
                <c:ptCount val="3"/>
                <c:pt idx="2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54-4D9C-A9DB-89FD544A7C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29657584"/>
        <c:axId val="1529660080"/>
      </c:barChart>
      <c:catAx>
        <c:axId val="152965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9660080"/>
        <c:crosses val="autoZero"/>
        <c:auto val="1"/>
        <c:lblAlgn val="ctr"/>
        <c:lblOffset val="100"/>
        <c:noMultiLvlLbl val="0"/>
      </c:catAx>
      <c:valAx>
        <c:axId val="1529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965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2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14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1.xml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3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361950</xdr:colOff>
          <xdr:row>7</xdr:row>
          <xdr:rowOff>9525</xdr:rowOff>
        </xdr:from>
        <xdr:to>
          <xdr:col>22</xdr:col>
          <xdr:colOff>47625</xdr:colOff>
          <xdr:row>7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Zaloguj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142874</xdr:colOff>
      <xdr:row>0</xdr:row>
      <xdr:rowOff>19050</xdr:rowOff>
    </xdr:from>
    <xdr:to>
      <xdr:col>1</xdr:col>
      <xdr:colOff>1676399</xdr:colOff>
      <xdr:row>7</xdr:row>
      <xdr:rowOff>15852</xdr:rowOff>
    </xdr:to>
    <xdr:pic macro="[0]!OpenKurs">
      <xdr:nvPicPr>
        <xdr:cNvPr id="5" name="Obraz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4" y="19050"/>
          <a:ext cx="1533525" cy="1577952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10</xdr:row>
      <xdr:rowOff>152400</xdr:rowOff>
    </xdr:from>
    <xdr:to>
      <xdr:col>5</xdr:col>
      <xdr:colOff>533399</xdr:colOff>
      <xdr:row>15</xdr:row>
      <xdr:rowOff>38099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3448050"/>
          <a:ext cx="914399" cy="914399"/>
        </a:xfrm>
        <a:prstGeom prst="rect">
          <a:avLst/>
        </a:prstGeom>
      </xdr:spPr>
    </xdr:pic>
    <xdr:clientData/>
  </xdr:twoCellAnchor>
  <xdr:twoCellAnchor editAs="oneCell">
    <xdr:from>
      <xdr:col>4</xdr:col>
      <xdr:colOff>245972</xdr:colOff>
      <xdr:row>21</xdr:row>
      <xdr:rowOff>7844</xdr:rowOff>
    </xdr:from>
    <xdr:to>
      <xdr:col>5</xdr:col>
      <xdr:colOff>582147</xdr:colOff>
      <xdr:row>25</xdr:row>
      <xdr:rowOff>168637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347" y="4817969"/>
          <a:ext cx="945775" cy="9227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23</xdr:row>
          <xdr:rowOff>57150</xdr:rowOff>
        </xdr:from>
        <xdr:to>
          <xdr:col>8</xdr:col>
          <xdr:colOff>457200</xdr:colOff>
          <xdr:row>25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Pełna dokumentacja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23</xdr:row>
          <xdr:rowOff>66675</xdr:rowOff>
        </xdr:from>
        <xdr:to>
          <xdr:col>10</xdr:col>
          <xdr:colOff>495300</xdr:colOff>
          <xdr:row>25</xdr:row>
          <xdr:rowOff>142875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2860" rIns="27432" bIns="22860" anchor="ctr" upright="1"/>
            <a:lstStyle/>
            <a:p>
              <a:pPr algn="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Omówienie VIDEO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23</xdr:row>
          <xdr:rowOff>76200</xdr:rowOff>
        </xdr:from>
        <xdr:to>
          <xdr:col>13</xdr:col>
          <xdr:colOff>152400</xdr:colOff>
          <xdr:row>25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7432" rIns="27432" bIns="27432" anchor="ctr" upright="1"/>
            <a:lstStyle/>
            <a:p>
              <a:pPr algn="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Schemat pracy        z BDO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352425</xdr:colOff>
      <xdr:row>11</xdr:row>
      <xdr:rowOff>28575</xdr:rowOff>
    </xdr:from>
    <xdr:to>
      <xdr:col>15</xdr:col>
      <xdr:colOff>38100</xdr:colOff>
      <xdr:row>15</xdr:row>
      <xdr:rowOff>95250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4925" y="2562225"/>
          <a:ext cx="904875" cy="904875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190501</xdr:colOff>
      <xdr:row>23</xdr:row>
      <xdr:rowOff>155863</xdr:rowOff>
    </xdr:from>
    <xdr:to>
      <xdr:col>9</xdr:col>
      <xdr:colOff>450273</xdr:colOff>
      <xdr:row>25</xdr:row>
      <xdr:rowOff>34635</xdr:rowOff>
    </xdr:to>
    <xdr:pic macro="[0]!Open_doc_videoglobal">
      <xdr:nvPicPr>
        <xdr:cNvPr id="10" name="Obraz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3819" y="5152158"/>
          <a:ext cx="259772" cy="259772"/>
        </a:xfrm>
        <a:prstGeom prst="rect">
          <a:avLst/>
        </a:prstGeom>
      </xdr:spPr>
    </xdr:pic>
    <xdr:clientData/>
  </xdr:twoCellAnchor>
  <xdr:twoCellAnchor editAs="oneCell">
    <xdr:from>
      <xdr:col>11</xdr:col>
      <xdr:colOff>216478</xdr:colOff>
      <xdr:row>23</xdr:row>
      <xdr:rowOff>164522</xdr:rowOff>
    </xdr:from>
    <xdr:to>
      <xdr:col>11</xdr:col>
      <xdr:colOff>476250</xdr:colOff>
      <xdr:row>25</xdr:row>
      <xdr:rowOff>43294</xdr:rowOff>
    </xdr:to>
    <xdr:pic macro="[0]!Open_doc_videoshema">
      <xdr:nvPicPr>
        <xdr:cNvPr id="11" name="Obraz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2069" y="5160817"/>
          <a:ext cx="259772" cy="2597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18</xdr:row>
          <xdr:rowOff>85725</xdr:rowOff>
        </xdr:from>
        <xdr:to>
          <xdr:col>9</xdr:col>
          <xdr:colOff>962025</xdr:colOff>
          <xdr:row>19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18</xdr:row>
          <xdr:rowOff>28575</xdr:rowOff>
        </xdr:from>
        <xdr:to>
          <xdr:col>14</xdr:col>
          <xdr:colOff>990600</xdr:colOff>
          <xdr:row>19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18</xdr:row>
          <xdr:rowOff>28575</xdr:rowOff>
        </xdr:from>
        <xdr:to>
          <xdr:col>15</xdr:col>
          <xdr:colOff>885825</xdr:colOff>
          <xdr:row>19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381000</xdr:colOff>
      <xdr:row>0</xdr:row>
      <xdr:rowOff>152400</xdr:rowOff>
    </xdr:from>
    <xdr:to>
      <xdr:col>2</xdr:col>
      <xdr:colOff>152400</xdr:colOff>
      <xdr:row>4</xdr:row>
      <xdr:rowOff>66675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52400"/>
          <a:ext cx="990600" cy="990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13</xdr:row>
          <xdr:rowOff>152400</xdr:rowOff>
        </xdr:from>
        <xdr:to>
          <xdr:col>12</xdr:col>
          <xdr:colOff>1266825</xdr:colOff>
          <xdr:row>14</xdr:row>
          <xdr:rowOff>200025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290140</xdr:colOff>
      <xdr:row>15</xdr:row>
      <xdr:rowOff>171874</xdr:rowOff>
    </xdr:from>
    <xdr:to>
      <xdr:col>3</xdr:col>
      <xdr:colOff>777515</xdr:colOff>
      <xdr:row>19</xdr:row>
      <xdr:rowOff>69821</xdr:rowOff>
    </xdr:to>
    <xdr:grpSp>
      <xdr:nvGrpSpPr>
        <xdr:cNvPr id="11" name="Grupa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517807" y="2225041"/>
          <a:ext cx="1101208" cy="480030"/>
          <a:chOff x="1535722" y="2157477"/>
          <a:chExt cx="1095511" cy="46944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535722" y="2157477"/>
                <a:ext cx="1095511" cy="4694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 Dodaj  </a:t>
                </a:r>
              </a:p>
            </xdr:txBody>
          </xdr:sp>
        </mc:Choice>
        <mc:Fallback/>
      </mc:AlternateContent>
      <xdr:pic macro="[0]!Open_newKPO_ADD">
        <xdr:nvPicPr>
          <xdr:cNvPr id="4" name="Obraz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92944" y="2212300"/>
            <a:ext cx="379594" cy="37657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759069</xdr:colOff>
      <xdr:row>15</xdr:row>
      <xdr:rowOff>153866</xdr:rowOff>
    </xdr:from>
    <xdr:to>
      <xdr:col>5</xdr:col>
      <xdr:colOff>769326</xdr:colOff>
      <xdr:row>19</xdr:row>
      <xdr:rowOff>58616</xdr:rowOff>
    </xdr:to>
    <xdr:grpSp>
      <xdr:nvGrpSpPr>
        <xdr:cNvPr id="9" name="Grupa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4230402" y="2207033"/>
          <a:ext cx="962757" cy="486833"/>
          <a:chOff x="4539762" y="2161448"/>
          <a:chExt cx="962757" cy="4762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4539762" y="2161448"/>
                <a:ext cx="962757" cy="4762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Usuń  </a:t>
                </a:r>
              </a:p>
              <a:p>
                <a:pPr algn="r" rtl="0">
                  <a:defRPr sz="1000"/>
                </a:pPr>
                <a:endParaRPr lang="pl-PL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endParaRPr>
              </a:p>
            </xdr:txBody>
          </xdr:sp>
        </mc:Choice>
        <mc:Fallback/>
      </mc:AlternateContent>
      <xdr:pic macro="[0]!delete_KPO">
        <xdr:nvPicPr>
          <xdr:cNvPr id="6" name="Obraz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15100" y="2223466"/>
            <a:ext cx="376577" cy="37657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1063346</xdr:colOff>
      <xdr:row>15</xdr:row>
      <xdr:rowOff>162867</xdr:rowOff>
    </xdr:from>
    <xdr:to>
      <xdr:col>4</xdr:col>
      <xdr:colOff>505557</xdr:colOff>
      <xdr:row>19</xdr:row>
      <xdr:rowOff>58614</xdr:rowOff>
    </xdr:to>
    <xdr:grpSp>
      <xdr:nvGrpSpPr>
        <xdr:cNvPr id="10" name="Grupa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2904846" y="2216034"/>
          <a:ext cx="1072044" cy="477830"/>
          <a:chOff x="2909727" y="2170445"/>
          <a:chExt cx="1068787" cy="46724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2909727" y="2170445"/>
                <a:ext cx="1068787" cy="4672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  Edytuj   </a:t>
                </a:r>
              </a:p>
            </xdr:txBody>
          </xdr:sp>
        </mc:Choice>
        <mc:Fallback/>
      </mc:AlternateContent>
      <xdr:pic macro="[0]!Open_newKPO_EDIT">
        <xdr:nvPicPr>
          <xdr:cNvPr id="8" name="Obraz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68279" y="2210605"/>
            <a:ext cx="376677" cy="376677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133350</xdr:colOff>
      <xdr:row>6</xdr:row>
      <xdr:rowOff>47625</xdr:rowOff>
    </xdr:from>
    <xdr:to>
      <xdr:col>0</xdr:col>
      <xdr:colOff>461785</xdr:colOff>
      <xdr:row>13</xdr:row>
      <xdr:rowOff>180975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514475"/>
          <a:ext cx="328435" cy="323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123825</xdr:rowOff>
    </xdr:from>
    <xdr:to>
      <xdr:col>2</xdr:col>
      <xdr:colOff>457200</xdr:colOff>
      <xdr:row>4</xdr:row>
      <xdr:rowOff>171450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23825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6</xdr:row>
      <xdr:rowOff>123825</xdr:rowOff>
    </xdr:from>
    <xdr:to>
      <xdr:col>0</xdr:col>
      <xdr:colOff>414160</xdr:colOff>
      <xdr:row>8</xdr:row>
      <xdr:rowOff>66675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90675"/>
          <a:ext cx="328435" cy="323850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17</xdr:row>
      <xdr:rowOff>85725</xdr:rowOff>
    </xdr:from>
    <xdr:to>
      <xdr:col>3</xdr:col>
      <xdr:colOff>1057275</xdr:colOff>
      <xdr:row>19</xdr:row>
      <xdr:rowOff>114300</xdr:rowOff>
    </xdr:to>
    <xdr:grpSp>
      <xdr:nvGrpSpPr>
        <xdr:cNvPr id="12" name="Grupa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471613" y="2038350"/>
          <a:ext cx="990600" cy="409575"/>
          <a:chOff x="1504950" y="1981200"/>
          <a:chExt cx="990600" cy="4095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200-0000020C0000}"/>
                  </a:ext>
                </a:extLst>
              </xdr:cNvPr>
              <xdr:cNvSpPr/>
            </xdr:nvSpPr>
            <xdr:spPr bwMode="auto">
              <a:xfrm>
                <a:off x="1504950" y="1981200"/>
                <a:ext cx="99060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Dodaj</a:t>
                </a:r>
              </a:p>
            </xdr:txBody>
          </xdr:sp>
        </mc:Choice>
        <mc:Fallback/>
      </mc:AlternateContent>
      <xdr:pic macro="[0]!Open_construction_Add">
        <xdr:nvPicPr>
          <xdr:cNvPr id="5" name="Obraz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8554" y="2027094"/>
            <a:ext cx="318654" cy="31865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1276350</xdr:colOff>
      <xdr:row>17</xdr:row>
      <xdr:rowOff>57150</xdr:rowOff>
    </xdr:from>
    <xdr:to>
      <xdr:col>4</xdr:col>
      <xdr:colOff>2162176</xdr:colOff>
      <xdr:row>19</xdr:row>
      <xdr:rowOff>104775</xdr:rowOff>
    </xdr:to>
    <xdr:grpSp>
      <xdr:nvGrpSpPr>
        <xdr:cNvPr id="10" name="Grup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3856038" y="2009775"/>
          <a:ext cx="885826" cy="428625"/>
          <a:chOff x="3657600" y="2000250"/>
          <a:chExt cx="885826" cy="4286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200-0000040C0000}"/>
                  </a:ext>
                </a:extLst>
              </xdr:cNvPr>
              <xdr:cNvSpPr/>
            </xdr:nvSpPr>
            <xdr:spPr bwMode="auto">
              <a:xfrm>
                <a:off x="3657600" y="2000250"/>
                <a:ext cx="885826" cy="4286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</mc:Choice>
        <mc:Fallback/>
      </mc:AlternateContent>
      <xdr:pic macro="[0]!delete_Construction">
        <xdr:nvPicPr>
          <xdr:cNvPr id="7" name="Obraz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38327" y="2079246"/>
            <a:ext cx="296809" cy="296809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76200</xdr:colOff>
      <xdr:row>17</xdr:row>
      <xdr:rowOff>76199</xdr:rowOff>
    </xdr:from>
    <xdr:to>
      <xdr:col>4</xdr:col>
      <xdr:colOff>1047750</xdr:colOff>
      <xdr:row>19</xdr:row>
      <xdr:rowOff>104774</xdr:rowOff>
    </xdr:to>
    <xdr:grpSp>
      <xdr:nvGrpSpPr>
        <xdr:cNvPr id="11" name="Grup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2655888" y="2028824"/>
          <a:ext cx="971550" cy="409575"/>
          <a:chOff x="2724150" y="2028824"/>
          <a:chExt cx="971550" cy="4095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2724150" y="2028824"/>
                <a:ext cx="9715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32004" rIns="36576" bIns="32004" anchor="ctr" upright="1"/>
              <a:lstStyle/>
              <a:p>
                <a:pPr algn="r" rtl="0">
                  <a:defRPr sz="1000"/>
                </a:pPr>
                <a:r>
                  <a:rPr lang="pl-PL" sz="14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Edytuj</a:t>
                </a:r>
              </a:p>
            </xdr:txBody>
          </xdr:sp>
        </mc:Choice>
        <mc:Fallback/>
      </mc:AlternateContent>
      <xdr:pic macro="[0]!Open_construction_Edit">
        <xdr:nvPicPr>
          <xdr:cNvPr id="9" name="Obraz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5160" y="2078578"/>
            <a:ext cx="324319" cy="3243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19050</xdr:rowOff>
        </xdr:from>
        <xdr:to>
          <xdr:col>6</xdr:col>
          <xdr:colOff>104775</xdr:colOff>
          <xdr:row>12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209550</xdr:colOff>
      <xdr:row>0</xdr:row>
      <xdr:rowOff>161925</xdr:rowOff>
    </xdr:from>
    <xdr:to>
      <xdr:col>1</xdr:col>
      <xdr:colOff>504825</xdr:colOff>
      <xdr:row>4</xdr:row>
      <xdr:rowOff>161925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61925"/>
          <a:ext cx="904875" cy="904875"/>
        </a:xfrm>
        <a:prstGeom prst="rect">
          <a:avLst/>
        </a:prstGeom>
      </xdr:spPr>
    </xdr:pic>
    <xdr:clientData/>
  </xdr:twoCellAnchor>
  <xdr:twoCellAnchor>
    <xdr:from>
      <xdr:col>7</xdr:col>
      <xdr:colOff>685799</xdr:colOff>
      <xdr:row>10</xdr:row>
      <xdr:rowOff>57150</xdr:rowOff>
    </xdr:from>
    <xdr:to>
      <xdr:col>10</xdr:col>
      <xdr:colOff>9524</xdr:colOff>
      <xdr:row>12</xdr:row>
      <xdr:rowOff>200025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614987" y="2120900"/>
          <a:ext cx="1657350" cy="571500"/>
          <a:chOff x="5886455" y="2162175"/>
          <a:chExt cx="1647827" cy="5715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Button 2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300-000002100000}"/>
                  </a:ext>
                </a:extLst>
              </xdr:cNvPr>
              <xdr:cNvSpPr/>
            </xdr:nvSpPr>
            <xdr:spPr bwMode="auto">
              <a:xfrm>
                <a:off x="5886455" y="2162175"/>
                <a:ext cx="1647827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27432" rIns="27432" bIns="27432" anchor="ctr" upright="1"/>
              <a:lstStyle/>
              <a:p>
                <a:pPr algn="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 WYNIKI WERYFIKACJI</a:t>
                </a:r>
              </a:p>
            </xdr:txBody>
          </xdr:sp>
        </mc:Choice>
        <mc:Fallback/>
      </mc:AlternateContent>
      <xdr:pic macro="[0]!SaveResultsOfVerification">
        <xdr:nvPicPr>
          <xdr:cNvPr id="7" name="Obraz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91225" y="2247900"/>
            <a:ext cx="438150" cy="4381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18</xdr:row>
          <xdr:rowOff>85725</xdr:rowOff>
        </xdr:from>
        <xdr:to>
          <xdr:col>9</xdr:col>
          <xdr:colOff>409575</xdr:colOff>
          <xdr:row>19</xdr:row>
          <xdr:rowOff>142875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17</xdr:row>
          <xdr:rowOff>123825</xdr:rowOff>
        </xdr:from>
        <xdr:to>
          <xdr:col>8</xdr:col>
          <xdr:colOff>400050</xdr:colOff>
          <xdr:row>19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Wczytaj dane z Bazy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103188</xdr:colOff>
      <xdr:row>6</xdr:row>
      <xdr:rowOff>63500</xdr:rowOff>
    </xdr:from>
    <xdr:to>
      <xdr:col>0</xdr:col>
      <xdr:colOff>431623</xdr:colOff>
      <xdr:row>8</xdr:row>
      <xdr:rowOff>6350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88" y="1357313"/>
          <a:ext cx="328435" cy="323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1</xdr:row>
      <xdr:rowOff>38100</xdr:rowOff>
    </xdr:from>
    <xdr:to>
      <xdr:col>1</xdr:col>
      <xdr:colOff>400050</xdr:colOff>
      <xdr:row>4</xdr:row>
      <xdr:rowOff>133350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2286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6</xdr:row>
      <xdr:rowOff>85725</xdr:rowOff>
    </xdr:from>
    <xdr:to>
      <xdr:col>0</xdr:col>
      <xdr:colOff>423685</xdr:colOff>
      <xdr:row>18</xdr:row>
      <xdr:rowOff>28575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381125"/>
          <a:ext cx="328435" cy="3238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17</xdr:row>
      <xdr:rowOff>19049</xdr:rowOff>
    </xdr:from>
    <xdr:to>
      <xdr:col>8</xdr:col>
      <xdr:colOff>577563</xdr:colOff>
      <xdr:row>28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700" y="3409949"/>
              <a:ext cx="6372226" cy="1333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390525</xdr:colOff>
      <xdr:row>7</xdr:row>
      <xdr:rowOff>19050</xdr:rowOff>
    </xdr:from>
    <xdr:to>
      <xdr:col>3</xdr:col>
      <xdr:colOff>276225</xdr:colOff>
      <xdr:row>16</xdr:row>
      <xdr:rowOff>57149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OK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" y="1504950"/>
              <a:ext cx="1495425" cy="1752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6</xdr:col>
      <xdr:colOff>438151</xdr:colOff>
      <xdr:row>7</xdr:row>
      <xdr:rowOff>28575</xdr:rowOff>
    </xdr:from>
    <xdr:to>
      <xdr:col>9</xdr:col>
      <xdr:colOff>133351</xdr:colOff>
      <xdr:row>16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azwa budowy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zwa budow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43601" y="1514475"/>
              <a:ext cx="1524000" cy="172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4</xdr:col>
      <xdr:colOff>914401</xdr:colOff>
      <xdr:row>7</xdr:row>
      <xdr:rowOff>38101</xdr:rowOff>
    </xdr:from>
    <xdr:to>
      <xdr:col>6</xdr:col>
      <xdr:colOff>238126</xdr:colOff>
      <xdr:row>16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mina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m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4826" y="1524001"/>
              <a:ext cx="1524000" cy="1704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3</xdr:col>
      <xdr:colOff>381000</xdr:colOff>
      <xdr:row>7</xdr:row>
      <xdr:rowOff>38101</xdr:rowOff>
    </xdr:from>
    <xdr:to>
      <xdr:col>4</xdr:col>
      <xdr:colOff>838200</xdr:colOff>
      <xdr:row>16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Województwo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ojewództw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00325" y="1524001"/>
              <a:ext cx="1638300" cy="1724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29</xdr:row>
          <xdr:rowOff>171450</xdr:rowOff>
        </xdr:from>
        <xdr:to>
          <xdr:col>3</xdr:col>
          <xdr:colOff>238125</xdr:colOff>
          <xdr:row>32</xdr:row>
          <xdr:rowOff>57150</xdr:rowOff>
        </xdr:to>
        <xdr:sp macro="" textlink="">
          <xdr:nvSpPr>
            <xdr:cNvPr id="15361" name="oBtn_ShowWeigh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257176</xdr:colOff>
      <xdr:row>0</xdr:row>
      <xdr:rowOff>114301</xdr:rowOff>
    </xdr:from>
    <xdr:to>
      <xdr:col>2</xdr:col>
      <xdr:colOff>104775</xdr:colOff>
      <xdr:row>4</xdr:row>
      <xdr:rowOff>95250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114301"/>
          <a:ext cx="885824" cy="8858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29</xdr:row>
          <xdr:rowOff>180975</xdr:rowOff>
        </xdr:from>
        <xdr:to>
          <xdr:col>4</xdr:col>
          <xdr:colOff>409575</xdr:colOff>
          <xdr:row>32</xdr:row>
          <xdr:rowOff>66675</xdr:rowOff>
        </xdr:to>
        <xdr:sp macro="" textlink="">
          <xdr:nvSpPr>
            <xdr:cNvPr id="15362" name="Obtn_showCoun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6</xdr:row>
      <xdr:rowOff>166686</xdr:rowOff>
    </xdr:from>
    <xdr:to>
      <xdr:col>21</xdr:col>
      <xdr:colOff>247650</xdr:colOff>
      <xdr:row>33</xdr:row>
      <xdr:rowOff>19050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69272</xdr:colOff>
      <xdr:row>6</xdr:row>
      <xdr:rowOff>69273</xdr:rowOff>
    </xdr:from>
    <xdr:to>
      <xdr:col>0</xdr:col>
      <xdr:colOff>397707</xdr:colOff>
      <xdr:row>8</xdr:row>
      <xdr:rowOff>12123</xdr:rowOff>
    </xdr:to>
    <xdr:pic macro="[0]!OpenHomePage">
      <xdr:nvPicPr>
        <xdr:cNvPr id="7" name="Obraz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" y="1368137"/>
          <a:ext cx="328435" cy="323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447675</xdr:colOff>
          <xdr:row>6</xdr:row>
          <xdr:rowOff>180975</xdr:rowOff>
        </xdr:from>
        <xdr:to>
          <xdr:col>63</xdr:col>
          <xdr:colOff>47625</xdr:colOff>
          <xdr:row>8</xdr:row>
          <xdr:rowOff>38100</xdr:rowOff>
        </xdr:to>
        <xdr:sp macro="" textlink="">
          <xdr:nvSpPr>
            <xdr:cNvPr id="7169" name="cbx_dontShowEndedConstruction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47625</xdr:colOff>
      <xdr:row>2</xdr:row>
      <xdr:rowOff>66675</xdr:rowOff>
    </xdr:from>
    <xdr:to>
      <xdr:col>4</xdr:col>
      <xdr:colOff>376060</xdr:colOff>
      <xdr:row>3</xdr:row>
      <xdr:rowOff>200025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581025"/>
          <a:ext cx="328435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390525</xdr:colOff>
          <xdr:row>6</xdr:row>
          <xdr:rowOff>161925</xdr:rowOff>
        </xdr:from>
        <xdr:to>
          <xdr:col>47</xdr:col>
          <xdr:colOff>266700</xdr:colOff>
          <xdr:row>8</xdr:row>
          <xdr:rowOff>19050</xdr:rowOff>
        </xdr:to>
        <xdr:sp macro="" textlink="">
          <xdr:nvSpPr>
            <xdr:cNvPr id="7171" name="cBx_automatCopyFileWhenLoggi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133350</xdr:colOff>
          <xdr:row>6</xdr:row>
          <xdr:rowOff>76200</xdr:rowOff>
        </xdr:from>
        <xdr:to>
          <xdr:col>49</xdr:col>
          <xdr:colOff>419100</xdr:colOff>
          <xdr:row>8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Wykonaj Kopie TERAZ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561975</xdr:colOff>
          <xdr:row>19</xdr:row>
          <xdr:rowOff>85725</xdr:rowOff>
        </xdr:from>
        <xdr:to>
          <xdr:col>44</xdr:col>
          <xdr:colOff>342900</xdr:colOff>
          <xdr:row>20</xdr:row>
          <xdr:rowOff>171450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561975</xdr:colOff>
          <xdr:row>22</xdr:row>
          <xdr:rowOff>161925</xdr:rowOff>
        </xdr:from>
        <xdr:to>
          <xdr:col>45</xdr:col>
          <xdr:colOff>447675</xdr:colOff>
          <xdr:row>24</xdr:row>
          <xdr:rowOff>85725</xdr:rowOff>
        </xdr:to>
        <xdr:sp macro="" textlink="">
          <xdr:nvSpPr>
            <xdr:cNvPr id="7174" name="opBtn_automaticFolder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561975</xdr:colOff>
          <xdr:row>25</xdr:row>
          <xdr:rowOff>19050</xdr:rowOff>
        </xdr:from>
        <xdr:to>
          <xdr:col>46</xdr:col>
          <xdr:colOff>409575</xdr:colOff>
          <xdr:row>26</xdr:row>
          <xdr:rowOff>95250</xdr:rowOff>
        </xdr:to>
        <xdr:sp macro="" textlink="">
          <xdr:nvSpPr>
            <xdr:cNvPr id="7175" name="opBtn_alternativeNFolder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133350</xdr:rowOff>
    </xdr:from>
    <xdr:to>
      <xdr:col>1</xdr:col>
      <xdr:colOff>371475</xdr:colOff>
      <xdr:row>4</xdr:row>
      <xdr:rowOff>19050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3335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122903</xdr:colOff>
      <xdr:row>6</xdr:row>
      <xdr:rowOff>102419</xdr:rowOff>
    </xdr:from>
    <xdr:to>
      <xdr:col>0</xdr:col>
      <xdr:colOff>451338</xdr:colOff>
      <xdr:row>18</xdr:row>
      <xdr:rowOff>37076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03" y="1423629"/>
          <a:ext cx="328435" cy="3238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047.812873726849" createdVersion="8" refreshedVersion="8" minRefreshableVersion="3" recordCount="4" xr:uid="{09258CD6-D0B7-4144-AA6E-F38D33B8C4F9}">
  <cacheSource type="worksheet">
    <worksheetSource name="Table_AllKPO"/>
  </cacheSource>
  <cacheFields count="19">
    <cacheField name="ID" numFmtId="0">
      <sharedItems containsSemiMixedTypes="0" containsString="0" containsNumber="1" containsInteger="1" minValue="1" maxValue="4"/>
    </cacheField>
    <cacheField name="ROK" numFmtId="0">
      <sharedItems containsSemiMixedTypes="0" containsString="0" containsNumber="1" containsInteger="1" minValue="2022" maxValue="2023" count="2">
        <n v="2023"/>
        <n v="2022" u="1"/>
      </sharedItems>
    </cacheField>
    <cacheField name="Numer KPO" numFmtId="0">
      <sharedItems containsMixedTypes="1" containsNumber="1" containsInteger="1" minValue="500" maxValue="5002"/>
    </cacheField>
    <cacheField name="Transportujący" numFmtId="0">
      <sharedItems containsBlank="1"/>
    </cacheField>
    <cacheField name="Przyjmujący" numFmtId="0">
      <sharedItems containsBlank="1"/>
    </cacheField>
    <cacheField name="Kod odpadu" numFmtId="0">
      <sharedItems count="4">
        <s v="15 01 02"/>
        <s v="15 01 01"/>
        <s v="17 09 04"/>
        <s v="20 03 07" u="1"/>
      </sharedItems>
    </cacheField>
    <cacheField name="Masa" numFmtId="0">
      <sharedItems containsSemiMixedTypes="0" containsString="0" containsNumber="1" minValue="12.5" maxValue="122.99"/>
    </cacheField>
    <cacheField name="Status" numFmtId="0">
      <sharedItems/>
    </cacheField>
    <cacheField name="Budowa_ID" numFmtId="0">
      <sharedItems containsSemiMixedTypes="0" containsString="0" containsNumber="1" containsInteger="1" minValue="1" maxValue="2"/>
    </cacheField>
    <cacheField name="Nr_budowy" numFmtId="0">
      <sharedItems/>
    </cacheField>
    <cacheField name="Nazwa budowy" numFmtId="0">
      <sharedItems count="4">
        <s v="Słoneczne domki"/>
        <s v="Deszczowe domki 2"/>
        <s v="SSłoneczna Dolina" u="1"/>
        <s v="nazwa to ma byc" u="1"/>
      </sharedItems>
    </cacheField>
    <cacheField name="Gmina" numFmtId="0">
      <sharedItems count="4">
        <s v="Kórnik (miasto)"/>
        <s v="Poznań "/>
        <s v="Poznań" u="1"/>
        <s v="Jarocin (miasto)" u="1"/>
      </sharedItems>
    </cacheField>
    <cacheField name="Gmina z BDO" numFmtId="0">
      <sharedItems/>
    </cacheField>
    <cacheField name="Województwo" numFmtId="0">
      <sharedItems containsMixedTypes="1" containsNumber="1" containsInteger="1" minValue="5" maxValue="5" count="2">
        <s v="WIELKOPOLSKIE"/>
        <n v="5" u="1"/>
      </sharedItems>
    </cacheField>
    <cacheField name="Czy dodano KEO wytworzenie" numFmtId="0">
      <sharedItems/>
    </cacheField>
    <cacheField name="Czy dodano KEO - przekazanie" numFmtId="0">
      <sharedItems/>
    </cacheField>
    <cacheField name="Status_rekordu" numFmtId="0">
      <sharedItems containsMixedTypes="1" containsNumber="1" containsInteger="1" minValue="21" maxValue="21" count="2">
        <s v="Active"/>
        <n v="21" u="1"/>
      </sharedItems>
    </cacheField>
    <cacheField name="Data" numFmtId="14">
      <sharedItems containsSemiMixedTypes="0" containsNonDate="0" containsDate="1" containsString="0" minDate="2023-05-12T00:00:00" maxDate="2023-11-26T00:00:00" count="4">
        <d v="2023-05-17T00:00:00"/>
        <d v="2023-05-12T00:00:00"/>
        <d v="2023-05-15T00:00:00"/>
        <d v="2023-11-25T00:00:00"/>
      </sharedItems>
    </cacheField>
    <cacheField name="imie i nazwisko BDO" numFmtId="0">
      <sharedItems containsBlank="1"/>
    </cacheField>
  </cacheFields>
  <extLst>
    <ext xmlns:x14="http://schemas.microsoft.com/office/spreadsheetml/2009/9/main" uri="{725AE2AE-9491-48be-B2B4-4EB974FC3084}">
      <x14:pivotCacheDefinition pivotCacheId="572480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x v="0"/>
    <n v="500"/>
    <s v="avc"/>
    <s v="agb"/>
    <x v="0"/>
    <n v="50.5"/>
    <s v="Potwierdzony Transport"/>
    <n v="1"/>
    <s v="50-50"/>
    <x v="0"/>
    <x v="0"/>
    <s v="Województwo: WIELKOPOLSKIE, Powiat: poznański, Gmina: Kórnik (miasto)"/>
    <x v="0"/>
    <b v="0"/>
    <b v="0"/>
    <x v="0"/>
    <x v="0"/>
    <s v="Jan Nowak"/>
  </r>
  <r>
    <n v="2"/>
    <x v="0"/>
    <n v="501"/>
    <m/>
    <m/>
    <x v="0"/>
    <n v="50.5"/>
    <s v="Potwierdzony Transport"/>
    <n v="2"/>
    <s v="60-60"/>
    <x v="1"/>
    <x v="1"/>
    <s v="Województwo: WIELKOPOLSKIE, Powiat: Poznań, Gmina: Poznań (gmina miejska)"/>
    <x v="0"/>
    <b v="0"/>
    <b v="0"/>
    <x v="0"/>
    <x v="1"/>
    <m/>
  </r>
  <r>
    <n v="3"/>
    <x v="0"/>
    <n v="5002"/>
    <s v="a"/>
    <m/>
    <x v="1"/>
    <n v="12.5"/>
    <s v="Potwierdzony Transport"/>
    <n v="1"/>
    <s v="50-50"/>
    <x v="0"/>
    <x v="0"/>
    <s v="Województwo: WIELKOPOLSKIE, Powiat: poznański, Gmina: Kórnik (miasto)"/>
    <x v="0"/>
    <b v="0"/>
    <b v="0"/>
    <x v="0"/>
    <x v="2"/>
    <m/>
  </r>
  <r>
    <n v="4"/>
    <x v="0"/>
    <s v="aaa"/>
    <m/>
    <m/>
    <x v="2"/>
    <n v="122.99"/>
    <s v="Potwierdzony Transport"/>
    <n v="1"/>
    <s v="50-50"/>
    <x v="0"/>
    <x v="0"/>
    <s v="Województwo: WIELKOPOLSKIE, Powiat: poznański, Gmina: Kórnik (miasto)"/>
    <x v="0"/>
    <b v="0"/>
    <b v="0"/>
    <x v="0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06A469-8A7D-4AD6-B7A1-E0B94B708A1B}" name="Tabela przestawna1" cacheId="0" applyNumberFormats="0" applyBorderFormats="0" applyFontFormats="0" applyPatternFormats="0" applyAlignmentFormats="0" applyWidthHeightFormats="1" dataCaption="Wartości" updatedVersion="8" minRefreshableVersion="5" useAutoFormatting="1" itemPrintTitles="1" createdVersion="8" indent="0" outline="1" outlineData="1" multipleFieldFilters="0" chartFormat="1">
  <location ref="C34:F39" firstHeaderRow="1" firstDataRow="2" firstDataCol="1" rowPageCount="1" colPageCount="1"/>
  <pivotFields count="19">
    <pivotField showAll="0"/>
    <pivotField showAll="0">
      <items count="3">
        <item h="1" m="1" x="1"/>
        <item x="0"/>
        <item t="default"/>
      </items>
    </pivotField>
    <pivotField showAll="0"/>
    <pivotField showAll="0"/>
    <pivotField showAll="0"/>
    <pivotField axis="axisRow" showAll="0">
      <items count="5">
        <item x="1"/>
        <item m="1" x="3"/>
        <item x="2"/>
        <item x="0"/>
        <item t="default"/>
      </items>
    </pivotField>
    <pivotField dataField="1" showAll="0"/>
    <pivotField showAll="0"/>
    <pivotField showAll="0"/>
    <pivotField showAll="0"/>
    <pivotField axis="axisCol" showAll="0">
      <items count="5">
        <item m="1" x="3"/>
        <item m="1" x="2"/>
        <item x="0"/>
        <item x="1"/>
        <item t="default"/>
      </items>
    </pivotField>
    <pivotField showAll="0">
      <items count="5">
        <item m="1" x="3"/>
        <item x="0"/>
        <item m="1" x="2"/>
        <item x="1"/>
        <item t="default"/>
      </items>
    </pivotField>
    <pivotField showAll="0"/>
    <pivotField showAll="0">
      <items count="3">
        <item m="1" x="1"/>
        <item x="0"/>
        <item t="default"/>
      </items>
    </pivotField>
    <pivotField showAll="0"/>
    <pivotField showAll="0"/>
    <pivotField axis="axisPage" showAll="0">
      <items count="3">
        <item x="0"/>
        <item m="1" x="1"/>
        <item t="default"/>
      </items>
    </pivotField>
    <pivotField showAll="0">
      <items count="5">
        <item x="1"/>
        <item x="2"/>
        <item x="0"/>
        <item x="3"/>
        <item t="default"/>
      </items>
    </pivotField>
    <pivotField showAll="0"/>
  </pivotFields>
  <rowFields count="1">
    <field x="5"/>
  </rowFields>
  <rowItems count="4">
    <i>
      <x/>
    </i>
    <i>
      <x v="2"/>
    </i>
    <i>
      <x v="3"/>
    </i>
    <i t="grand">
      <x/>
    </i>
  </rowItems>
  <colFields count="1">
    <field x="10"/>
  </colFields>
  <colItems count="3">
    <i>
      <x v="2"/>
    </i>
    <i>
      <x v="3"/>
    </i>
    <i t="grand">
      <x/>
    </i>
  </colItems>
  <pageFields count="1">
    <pageField fld="16" item="0" hier="-1"/>
  </pageFields>
  <dataFields count="1">
    <dataField name="Suma z Masa" fld="6" baseField="5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7" type="dateBetween" evalOrder="-1" id="142" name="Data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" xr10:uid="{3679C650-726B-4B40-8A18-217D5FDABE0A}" sourceName="ROK">
  <pivotTables>
    <pivotTable tabId="6" name="Tabela przestawna1"/>
  </pivotTables>
  <data>
    <tabular pivotCacheId="572480179" showMissing="0">
      <items count="2">
        <i x="0" s="1"/>
        <i x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azwa_budowy" xr10:uid="{EBD04FB5-DC59-4D05-BFD8-6DB3761EBDFA}" sourceName="Nazwa budowy">
  <pivotTables>
    <pivotTable tabId="6" name="Tabela przestawna1"/>
  </pivotTables>
  <data>
    <tabular pivotCacheId="572480179" showMissing="0">
      <items count="4">
        <i x="1" s="1"/>
        <i x="0" s="1"/>
        <i x="3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Gmina" xr10:uid="{5534A5D4-8D6E-4E89-BD96-D89B98063202}" sourceName="Gmina">
  <pivotTables>
    <pivotTable tabId="6" name="Tabela przestawna1"/>
  </pivotTables>
  <data>
    <tabular pivotCacheId="572480179" showMissing="0">
      <items count="4">
        <i x="0" s="1"/>
        <i x="1" s="1"/>
        <i x="3" s="1" nd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Województwo" xr10:uid="{1DDEB898-C0DB-4C9C-B062-EAB6E1B17FC6}" sourceName="Województwo">
  <pivotTables>
    <pivotTable tabId="6" name="Tabela przestawna1"/>
  </pivotTables>
  <data>
    <tabular pivotCacheId="572480179" showMissing="0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OK" xr10:uid="{E4DF7F1C-C50A-429D-B378-0A2E7C3659D3}" cache="Fragmentator_ROK" caption="ROK" rowHeight="241300"/>
  <slicer name="Nazwa budowy" xr10:uid="{63043B57-105F-4C7D-8712-6F44139F6FDD}" cache="Fragmentator_Nazwa_budowy" caption="Nazwa budowy" rowHeight="241300"/>
  <slicer name="Gmina" xr10:uid="{A380236D-ED9C-44BF-AF6A-362FA0F82FBA}" cache="Fragmentator_Gmina" caption="Gmina" rowHeight="241300"/>
  <slicer name="Województwo" xr10:uid="{BA8282D4-68D6-4A39-8CDF-C64435BA7263}" cache="Fragmentator_Województwo" caption="Województwo" rowHeight="241300"/>
</slicer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Wklęsły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Data" xr10:uid="{941ECE36-B599-4EAC-BE1E-D0B0D3ABF080}" sourceName="Data">
  <pivotTables>
    <pivotTable tabId="6" name="Tabela przestawna1"/>
  </pivotTables>
  <state minimalRefreshVersion="6" lastRefreshVersion="6" pivotCacheId="572480179" filterType="dateBetween">
    <selection startDate="2023-01-01T00:00:00" endDate="2023-12-31T00:00:00"/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0FAF337C-5741-46ED-813D-A5003FFEDAA7}" cache="NatywnaOśCzasu_Data" caption="Data" level="2" selectionLevel="0" scrollPosition="2023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urs-bdo.pl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5" Type="http://schemas.openxmlformats.org/officeDocument/2006/relationships/image" Target="../media/image16.emf"/><Relationship Id="rId4" Type="http://schemas.openxmlformats.org/officeDocument/2006/relationships/control" Target="../activeX/activeX1.xml"/><Relationship Id="rId9" Type="http://schemas.microsoft.com/office/2011/relationships/timeline" Target="../timelines/timelin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omments" Target="../comments3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19.xml"/><Relationship Id="rId5" Type="http://schemas.openxmlformats.org/officeDocument/2006/relationships/control" Target="../activeX/activeX4.xml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E8924-22DE-41D4-97B7-8C1C833A8422}">
  <sheetPr codeName="Arkusz3">
    <tabColor rgb="FF00B050"/>
  </sheetPr>
  <dimension ref="A1:AA51"/>
  <sheetViews>
    <sheetView showGridLines="0" showRowColHeaders="0" tabSelected="1" zoomScale="110" zoomScaleNormal="110" workbookViewId="0">
      <selection activeCell="Q27" sqref="Q27"/>
    </sheetView>
  </sheetViews>
  <sheetFormatPr defaultColWidth="0" defaultRowHeight="15" zeroHeight="1" x14ac:dyDescent="0.25"/>
  <cols>
    <col min="1" max="1" width="2.28515625" customWidth="1"/>
    <col min="2" max="2" width="25.7109375" customWidth="1"/>
    <col min="3" max="18" width="9.140625" customWidth="1"/>
    <col min="19" max="19" width="9.85546875" bestFit="1" customWidth="1"/>
    <col min="20" max="27" width="9.140625" customWidth="1"/>
    <col min="28" max="16384" width="9.140625" hidden="1"/>
  </cols>
  <sheetData>
    <row r="1" spans="1:27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ht="33.75" x14ac:dyDescent="0.5">
      <c r="A2" s="9"/>
      <c r="B2" s="9"/>
      <c r="C2" s="9"/>
      <c r="D2" s="10" t="s">
        <v>41</v>
      </c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x14ac:dyDescent="0.25">
      <c r="A3" s="9"/>
      <c r="B3" s="9"/>
      <c r="C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.75" thickBot="1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</row>
    <row r="7" spans="1:27" x14ac:dyDescent="0.25"/>
    <row r="8" spans="1:27" ht="23.25" x14ac:dyDescent="0.35">
      <c r="E8" s="88" t="str">
        <f>IF(activeUserName="brak","JESTEŚ NIEZALOGOWANY","")</f>
        <v/>
      </c>
      <c r="R8" s="2" t="s">
        <v>30</v>
      </c>
      <c r="S8" t="str">
        <f>activeUserName</f>
        <v>Admin</v>
      </c>
    </row>
    <row r="9" spans="1:27" ht="21" x14ac:dyDescent="0.35">
      <c r="A9" s="12" t="s">
        <v>26</v>
      </c>
      <c r="B9" s="13"/>
      <c r="R9" s="2" t="s">
        <v>31</v>
      </c>
      <c r="S9" s="143">
        <f ca="1">TODAY()</f>
        <v>45047</v>
      </c>
      <c r="T9" s="143"/>
    </row>
    <row r="10" spans="1:27" ht="15.75" thickBot="1" x14ac:dyDescent="0.3">
      <c r="A10" s="14"/>
      <c r="B10" s="15" t="s">
        <v>14</v>
      </c>
      <c r="E10" s="2"/>
    </row>
    <row r="11" spans="1:27" x14ac:dyDescent="0.25">
      <c r="A11" s="14"/>
      <c r="B11" s="138" t="s">
        <v>112</v>
      </c>
      <c r="E11" s="95"/>
      <c r="F11" s="96"/>
      <c r="G11" s="96"/>
      <c r="H11" s="96"/>
      <c r="I11" s="96"/>
      <c r="J11" s="96"/>
      <c r="K11" s="97"/>
      <c r="N11" s="107"/>
      <c r="O11" s="108"/>
      <c r="P11" s="108"/>
      <c r="Q11" s="108"/>
      <c r="R11" s="108"/>
      <c r="S11" s="108"/>
      <c r="T11" s="109"/>
    </row>
    <row r="12" spans="1:27" ht="21" x14ac:dyDescent="0.35">
      <c r="A12" s="14"/>
      <c r="B12" s="138" t="s">
        <v>113</v>
      </c>
      <c r="E12" s="98"/>
      <c r="F12" s="99"/>
      <c r="G12" s="99"/>
      <c r="H12" s="100" t="s">
        <v>59</v>
      </c>
      <c r="I12" s="99"/>
      <c r="J12" s="99"/>
      <c r="K12" s="101"/>
      <c r="N12" s="110"/>
      <c r="O12" s="111"/>
      <c r="P12" s="111"/>
      <c r="Q12" s="112" t="s">
        <v>104</v>
      </c>
      <c r="R12" s="111"/>
      <c r="S12" s="111"/>
      <c r="T12" s="113"/>
    </row>
    <row r="13" spans="1:27" x14ac:dyDescent="0.25">
      <c r="A13" s="14"/>
      <c r="B13" s="138" t="s">
        <v>114</v>
      </c>
      <c r="E13" s="98"/>
      <c r="F13" s="99"/>
      <c r="G13" s="99"/>
      <c r="H13" s="99"/>
      <c r="I13" s="102"/>
      <c r="J13" s="99"/>
      <c r="K13" s="101"/>
      <c r="N13" s="110"/>
      <c r="O13" s="111"/>
      <c r="P13" s="111"/>
      <c r="Q13" s="111"/>
      <c r="R13" s="111"/>
      <c r="S13" s="111"/>
      <c r="T13" s="113"/>
    </row>
    <row r="14" spans="1:27" x14ac:dyDescent="0.25">
      <c r="A14" s="14" t="s">
        <v>94</v>
      </c>
      <c r="B14" s="138" t="s">
        <v>115</v>
      </c>
      <c r="E14" s="98"/>
      <c r="F14" s="99"/>
      <c r="G14" s="99"/>
      <c r="H14" s="99"/>
      <c r="I14" s="102" t="s">
        <v>102</v>
      </c>
      <c r="J14" s="103">
        <f>Count_Con</f>
        <v>0</v>
      </c>
      <c r="K14" s="101"/>
      <c r="N14" s="110"/>
      <c r="O14" s="111"/>
      <c r="P14" s="111"/>
      <c r="Q14" s="111"/>
      <c r="R14" s="114" t="s">
        <v>105</v>
      </c>
      <c r="S14" s="103">
        <f>dataBaseKPO_count</f>
        <v>0</v>
      </c>
      <c r="T14" s="113"/>
    </row>
    <row r="15" spans="1:27" x14ac:dyDescent="0.25">
      <c r="A15" s="16"/>
      <c r="B15" s="138" t="s">
        <v>117</v>
      </c>
      <c r="E15" s="98"/>
      <c r="F15" s="99"/>
      <c r="G15" s="99"/>
      <c r="H15" s="99"/>
      <c r="I15" s="102" t="s">
        <v>103</v>
      </c>
      <c r="J15" s="103">
        <f>Count_con_ended</f>
        <v>0</v>
      </c>
      <c r="K15" s="101"/>
      <c r="N15" s="110"/>
      <c r="O15" s="111"/>
      <c r="P15" s="111"/>
      <c r="Q15" s="111"/>
      <c r="R15" s="114" t="s">
        <v>106</v>
      </c>
      <c r="S15" s="103">
        <f>dataBaseKPO_sum</f>
        <v>0</v>
      </c>
      <c r="T15" s="113"/>
    </row>
    <row r="16" spans="1:27" x14ac:dyDescent="0.25">
      <c r="A16" s="16"/>
      <c r="B16" s="138" t="s">
        <v>116</v>
      </c>
      <c r="E16" s="98"/>
      <c r="F16" s="99"/>
      <c r="G16" s="99"/>
      <c r="H16" s="99"/>
      <c r="I16" s="99"/>
      <c r="J16" s="99"/>
      <c r="K16" s="101"/>
      <c r="N16" s="110"/>
      <c r="O16" s="111"/>
      <c r="P16" s="111"/>
      <c r="Q16" s="111"/>
      <c r="R16" s="111"/>
      <c r="S16" s="111"/>
      <c r="T16" s="113"/>
    </row>
    <row r="17" spans="1:20" ht="15.75" thickBot="1" x14ac:dyDescent="0.3">
      <c r="A17" s="16"/>
      <c r="B17" s="138" t="s">
        <v>118</v>
      </c>
      <c r="E17" s="104"/>
      <c r="F17" s="105"/>
      <c r="G17" s="105"/>
      <c r="H17" s="105"/>
      <c r="I17" s="105"/>
      <c r="J17" s="105"/>
      <c r="K17" s="106"/>
      <c r="N17" s="115"/>
      <c r="O17" s="116"/>
      <c r="P17" s="116"/>
      <c r="Q17" s="116"/>
      <c r="R17" s="116"/>
      <c r="S17" s="116"/>
      <c r="T17" s="117"/>
    </row>
    <row r="18" spans="1:20" x14ac:dyDescent="0.25">
      <c r="A18" s="16"/>
      <c r="B18" s="137"/>
    </row>
    <row r="19" spans="1:20" x14ac:dyDescent="0.25">
      <c r="A19" s="14"/>
      <c r="B19" s="137"/>
    </row>
    <row r="20" spans="1:20" ht="15.75" thickBot="1" x14ac:dyDescent="0.3">
      <c r="A20" s="14"/>
      <c r="B20" s="137"/>
      <c r="N20" s="139"/>
    </row>
    <row r="21" spans="1:20" x14ac:dyDescent="0.25">
      <c r="A21" s="14"/>
      <c r="B21" s="137"/>
      <c r="E21" s="118"/>
      <c r="F21" s="119"/>
      <c r="G21" s="119"/>
      <c r="H21" s="119"/>
      <c r="I21" s="119"/>
      <c r="J21" s="119"/>
      <c r="K21" s="119"/>
      <c r="L21" s="119"/>
      <c r="M21" s="119"/>
      <c r="N21" s="140"/>
    </row>
    <row r="22" spans="1:20" ht="21" x14ac:dyDescent="0.35">
      <c r="A22" s="14"/>
      <c r="B22" s="15"/>
      <c r="E22" s="120"/>
      <c r="F22" s="121"/>
      <c r="G22" s="121"/>
      <c r="H22" s="122" t="s">
        <v>101</v>
      </c>
      <c r="I22" s="121"/>
      <c r="J22" s="121"/>
      <c r="K22" s="121"/>
      <c r="L22" s="121"/>
      <c r="M22" s="121"/>
      <c r="N22" s="141"/>
    </row>
    <row r="23" spans="1:20" x14ac:dyDescent="0.25">
      <c r="A23" s="14"/>
      <c r="B23" s="15"/>
      <c r="E23" s="120"/>
      <c r="F23" s="121"/>
      <c r="G23" s="121"/>
      <c r="H23" s="121"/>
      <c r="I23" s="121"/>
      <c r="J23" s="121"/>
      <c r="K23" s="121"/>
      <c r="L23" s="121"/>
      <c r="M23" s="121"/>
      <c r="N23" s="141"/>
    </row>
    <row r="24" spans="1:20" x14ac:dyDescent="0.25">
      <c r="A24" s="14"/>
      <c r="B24" s="15"/>
      <c r="E24" s="120"/>
      <c r="F24" s="121"/>
      <c r="G24" s="121"/>
      <c r="H24" s="121"/>
      <c r="I24" s="121"/>
      <c r="J24" s="121"/>
      <c r="K24" s="121"/>
      <c r="L24" s="121"/>
      <c r="M24" s="121"/>
      <c r="N24" s="141"/>
    </row>
    <row r="25" spans="1:20" x14ac:dyDescent="0.25">
      <c r="A25" s="14"/>
      <c r="B25" s="15"/>
      <c r="E25" s="120"/>
      <c r="F25" s="121"/>
      <c r="G25" s="121"/>
      <c r="H25" s="121"/>
      <c r="I25" s="121"/>
      <c r="J25" s="121"/>
      <c r="K25" s="121"/>
      <c r="L25" s="121"/>
      <c r="M25" s="121"/>
      <c r="N25" s="141"/>
    </row>
    <row r="26" spans="1:20" x14ac:dyDescent="0.25">
      <c r="A26" s="14"/>
      <c r="B26" s="15"/>
      <c r="E26" s="120"/>
      <c r="F26" s="121"/>
      <c r="G26" s="121"/>
      <c r="H26" s="121"/>
      <c r="I26" s="121"/>
      <c r="J26" s="121"/>
      <c r="K26" s="121"/>
      <c r="L26" s="121"/>
      <c r="M26" s="121"/>
      <c r="N26" s="141"/>
    </row>
    <row r="27" spans="1:20" ht="15.75" thickBot="1" x14ac:dyDescent="0.3">
      <c r="A27" s="14"/>
      <c r="B27" s="15"/>
      <c r="E27" s="123"/>
      <c r="F27" s="124"/>
      <c r="G27" s="124"/>
      <c r="H27" s="124"/>
      <c r="I27" s="124"/>
      <c r="J27" s="124"/>
      <c r="K27" s="124"/>
      <c r="L27" s="124"/>
      <c r="M27" s="124"/>
      <c r="N27" s="142"/>
    </row>
    <row r="28" spans="1:20" x14ac:dyDescent="0.25">
      <c r="A28" s="14"/>
      <c r="B28" s="15"/>
    </row>
    <row r="29" spans="1:20" x14ac:dyDescent="0.25">
      <c r="A29" s="14"/>
      <c r="B29" s="15"/>
    </row>
    <row r="30" spans="1:20" x14ac:dyDescent="0.25">
      <c r="A30" s="14"/>
      <c r="B30" s="15"/>
    </row>
    <row r="31" spans="1:20" hidden="1" x14ac:dyDescent="0.25">
      <c r="A31" s="14"/>
      <c r="B31" s="15"/>
    </row>
    <row r="32" spans="1:20" hidden="1" x14ac:dyDescent="0.25">
      <c r="A32" s="14"/>
      <c r="B32" s="15"/>
    </row>
    <row r="33" spans="1:26" hidden="1" x14ac:dyDescent="0.25">
      <c r="A33" s="14"/>
      <c r="B33" s="15"/>
    </row>
    <row r="34" spans="1:26" hidden="1" x14ac:dyDescent="0.25">
      <c r="A34" s="14"/>
      <c r="B34" s="15"/>
    </row>
    <row r="35" spans="1:26" hidden="1" x14ac:dyDescent="0.25">
      <c r="A35" s="14"/>
      <c r="B35" s="15"/>
    </row>
    <row r="36" spans="1:26" hidden="1" x14ac:dyDescent="0.25">
      <c r="A36" s="14"/>
      <c r="B36" s="15"/>
    </row>
    <row r="37" spans="1:26" x14ac:dyDescent="0.25">
      <c r="A37" s="14"/>
      <c r="B37" s="15"/>
    </row>
    <row r="38" spans="1:26" x14ac:dyDescent="0.25">
      <c r="A38" s="14"/>
      <c r="B38" s="15"/>
    </row>
    <row r="39" spans="1:26" x14ac:dyDescent="0.25">
      <c r="A39" s="14"/>
      <c r="B39" s="15"/>
    </row>
    <row r="40" spans="1:26" x14ac:dyDescent="0.25">
      <c r="A40" s="14"/>
      <c r="B40" s="15"/>
    </row>
    <row r="41" spans="1:26" x14ac:dyDescent="0.25">
      <c r="A41" s="14"/>
      <c r="B41" s="15"/>
    </row>
    <row r="42" spans="1:26" x14ac:dyDescent="0.25">
      <c r="A42" s="14"/>
      <c r="B42" s="15"/>
    </row>
    <row r="43" spans="1:26" x14ac:dyDescent="0.25">
      <c r="A43" s="14"/>
      <c r="B43" s="15"/>
    </row>
    <row r="44" spans="1:26" x14ac:dyDescent="0.25">
      <c r="A44" s="14"/>
      <c r="B44" s="15"/>
    </row>
    <row r="45" spans="1:26" x14ac:dyDescent="0.25">
      <c r="A45" s="14"/>
      <c r="B45" s="15"/>
      <c r="V45" s="126"/>
      <c r="W45" s="127"/>
      <c r="X45" s="127"/>
      <c r="Y45" s="127"/>
      <c r="Z45" s="128"/>
    </row>
    <row r="46" spans="1:26" x14ac:dyDescent="0.25">
      <c r="A46" s="14"/>
      <c r="B46" s="15"/>
      <c r="V46" s="129"/>
      <c r="W46" s="2" t="s">
        <v>107</v>
      </c>
      <c r="X46" t="s">
        <v>108</v>
      </c>
      <c r="Z46" s="130"/>
    </row>
    <row r="47" spans="1:26" x14ac:dyDescent="0.25">
      <c r="A47" s="14"/>
      <c r="B47" s="15"/>
      <c r="V47" s="129"/>
      <c r="X47" s="131" t="s">
        <v>109</v>
      </c>
      <c r="Z47" s="130"/>
    </row>
    <row r="48" spans="1:26" x14ac:dyDescent="0.25">
      <c r="A48" s="14"/>
      <c r="B48" s="15"/>
      <c r="V48" s="129"/>
      <c r="X48" s="136" t="s">
        <v>111</v>
      </c>
      <c r="Z48" s="130"/>
    </row>
    <row r="49" spans="1:26" x14ac:dyDescent="0.25">
      <c r="A49" s="14"/>
      <c r="B49" s="15"/>
      <c r="V49" s="132"/>
      <c r="W49" s="133" t="s">
        <v>110</v>
      </c>
      <c r="X49" s="134"/>
      <c r="Y49" s="134"/>
      <c r="Z49" s="135"/>
    </row>
    <row r="50" spans="1:26" x14ac:dyDescent="0.25">
      <c r="A50" s="14"/>
      <c r="B50" s="15"/>
    </row>
    <row r="51" spans="1:26" x14ac:dyDescent="0.25">
      <c r="A51" s="14"/>
      <c r="B51" s="15"/>
    </row>
  </sheetData>
  <mergeCells count="1">
    <mergeCell ref="S9:T9"/>
  </mergeCells>
  <hyperlinks>
    <hyperlink ref="X48" r:id="rId1" xr:uid="{9E58C688-3FC1-4A7C-A24F-106FF81FCD8E}"/>
    <hyperlink ref="B11" location="'Spis KPO'!A1" display="SPIS KPO" xr:uid="{568F9328-C423-43DB-A9E4-CBE64E4F4477}"/>
    <hyperlink ref="B12" location="Budowy!A1" display="BUDOWY" xr:uid="{6A982D4A-3B6B-4992-9D87-84D5B58F0603}"/>
    <hyperlink ref="B13" location="'Weryfikacja KEO'!A1" display="WERYFIKACJA KEO" xr:uid="{C2F407E3-B5F0-4A33-95A4-C4E36412DBF1}"/>
    <hyperlink ref="B14" location="'Historia weryfikacji'!A1" display="      Historia Weryfikacji" xr:uid="{49EF2124-D08D-412B-8BA5-49AEFC75DDFC}"/>
    <hyperlink ref="B15" location="Zestawienia!A1" display="ZESTAWIENIA" xr:uid="{27EAC08F-E371-4FE1-A2AC-C599D2F2887A}"/>
    <hyperlink ref="B16" location="Ustawienia!A1" display="USTAWIENIA" xr:uid="{ED5CA7FC-87C0-4EFB-B526-8F9F9528709B}"/>
    <hyperlink ref="B17" location="LOGI!A1" display="     Logi" xr:uid="{DF06AEE6-9257-4D7D-AB69-32FFB9F46903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Open_loginForm">
                <anchor moveWithCells="1" sizeWithCells="1">
                  <from>
                    <xdr:col>20</xdr:col>
                    <xdr:colOff>361950</xdr:colOff>
                    <xdr:row>7</xdr:row>
                    <xdr:rowOff>9525</xdr:rowOff>
                  </from>
                  <to>
                    <xdr:col>22</xdr:col>
                    <xdr:colOff>47625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Open_doc">
                <anchor moveWithCells="1">
                  <from>
                    <xdr:col>6</xdr:col>
                    <xdr:colOff>561975</xdr:colOff>
                    <xdr:row>23</xdr:row>
                    <xdr:rowOff>57150</xdr:rowOff>
                  </from>
                  <to>
                    <xdr:col>8</xdr:col>
                    <xdr:colOff>457200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Open_doc_videoglobal">
                <anchor moveWithCells="1">
                  <from>
                    <xdr:col>9</xdr:col>
                    <xdr:colOff>123825</xdr:colOff>
                    <xdr:row>23</xdr:row>
                    <xdr:rowOff>66675</xdr:rowOff>
                  </from>
                  <to>
                    <xdr:col>10</xdr:col>
                    <xdr:colOff>495300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Open_doc_videoshema">
                <anchor moveWithCells="1">
                  <from>
                    <xdr:col>11</xdr:col>
                    <xdr:colOff>190500</xdr:colOff>
                    <xdr:row>23</xdr:row>
                    <xdr:rowOff>76200</xdr:rowOff>
                  </from>
                  <to>
                    <xdr:col>13</xdr:col>
                    <xdr:colOff>152400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3ED2B-21E3-496A-A5BC-595037A1A27D}">
  <sheetPr codeName="Arkusz1">
    <tabColor rgb="FF00B0F0"/>
  </sheetPr>
  <dimension ref="A1:BA29"/>
  <sheetViews>
    <sheetView showGridLines="0" zoomScale="90" zoomScaleNormal="90" workbookViewId="0">
      <pane ySplit="21" topLeftCell="A22" activePane="bottomLeft" state="frozen"/>
      <selection pane="bottomLeft" activeCell="H4" sqref="H4"/>
    </sheetView>
  </sheetViews>
  <sheetFormatPr defaultColWidth="0" defaultRowHeight="15" x14ac:dyDescent="0.25"/>
  <cols>
    <col min="1" max="3" width="9.140625" customWidth="1"/>
    <col min="4" max="4" width="24.42578125" customWidth="1"/>
    <col min="5" max="5" width="14.28515625" customWidth="1"/>
    <col min="6" max="6" width="16.5703125" customWidth="1"/>
    <col min="7" max="7" width="14.140625" bestFit="1" customWidth="1"/>
    <col min="8" max="8" width="18.85546875" customWidth="1"/>
    <col min="9" max="9" width="16" customWidth="1"/>
    <col min="10" max="10" width="16.28515625" customWidth="1"/>
    <col min="11" max="11" width="20.42578125" customWidth="1"/>
    <col min="12" max="12" width="17.42578125" customWidth="1"/>
    <col min="13" max="13" width="26.42578125" customWidth="1"/>
    <col min="14" max="14" width="17.28515625" customWidth="1"/>
    <col min="15" max="15" width="17.42578125" customWidth="1"/>
    <col min="16" max="16" width="16.28515625" customWidth="1"/>
    <col min="17" max="17" width="13.85546875" customWidth="1"/>
    <col min="18" max="26" width="9.140625" customWidth="1"/>
    <col min="27" max="53" width="0" hidden="1" customWidth="1"/>
    <col min="54" max="16384" width="9.140625" hidden="1"/>
  </cols>
  <sheetData>
    <row r="1" spans="1:53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</row>
    <row r="2" spans="1:53" ht="26.25" x14ac:dyDescent="0.4">
      <c r="A2" s="14"/>
      <c r="B2" s="14"/>
      <c r="C2" s="14"/>
      <c r="D2" s="38" t="s">
        <v>58</v>
      </c>
      <c r="E2" s="38"/>
      <c r="F2" s="14"/>
      <c r="G2" s="14"/>
      <c r="H2" s="14"/>
      <c r="I2" s="14"/>
      <c r="J2" s="38"/>
      <c r="K2" s="38"/>
      <c r="L2" s="14"/>
      <c r="M2" s="14"/>
      <c r="N2" s="14"/>
      <c r="O2" s="14"/>
      <c r="P2" s="38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</row>
    <row r="3" spans="1:53" ht="28.5" x14ac:dyDescent="0.45">
      <c r="A3" s="14"/>
      <c r="B3" s="14"/>
      <c r="C3" s="14"/>
      <c r="D3" s="39"/>
      <c r="E3" s="39"/>
      <c r="F3" s="14"/>
      <c r="G3" s="14"/>
      <c r="H3" s="14"/>
      <c r="I3" s="14"/>
      <c r="J3" s="39"/>
      <c r="K3" s="39"/>
      <c r="L3" s="14"/>
      <c r="M3" s="14"/>
      <c r="N3" s="14"/>
      <c r="O3" s="14"/>
      <c r="P3" s="39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</row>
    <row r="4" spans="1:53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</row>
    <row r="5" spans="1:53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</row>
    <row r="7" spans="1:53" x14ac:dyDescent="0.25">
      <c r="X7" s="125" t="s">
        <v>122</v>
      </c>
    </row>
    <row r="8" spans="1:53" hidden="1" x14ac:dyDescent="0.25"/>
    <row r="9" spans="1:53" hidden="1" x14ac:dyDescent="0.25"/>
    <row r="10" spans="1:53" hidden="1" x14ac:dyDescent="0.25"/>
    <row r="11" spans="1:53" hidden="1" x14ac:dyDescent="0.25"/>
    <row r="12" spans="1:53" hidden="1" x14ac:dyDescent="0.25">
      <c r="R12" s="1"/>
    </row>
    <row r="13" spans="1:53" hidden="1" x14ac:dyDescent="0.25">
      <c r="Q13" s="1"/>
      <c r="R13" s="1"/>
    </row>
    <row r="14" spans="1:53" x14ac:dyDescent="0.25">
      <c r="Q14" s="1"/>
      <c r="R14" s="1"/>
    </row>
    <row r="15" spans="1:53" ht="15.75" x14ac:dyDescent="0.25">
      <c r="K15" s="48" t="s">
        <v>16</v>
      </c>
      <c r="L15" s="49">
        <v>2023</v>
      </c>
      <c r="Q15" s="1"/>
      <c r="R15" s="1"/>
    </row>
    <row r="16" spans="1:53" x14ac:dyDescent="0.25">
      <c r="Q16" s="1"/>
      <c r="R16" s="1"/>
    </row>
    <row r="17" spans="3:18" hidden="1" x14ac:dyDescent="0.25">
      <c r="Q17" s="1"/>
      <c r="R17" s="1"/>
    </row>
    <row r="18" spans="3:18" x14ac:dyDescent="0.25">
      <c r="H18" s="2"/>
      <c r="I18" s="43" t="s">
        <v>68</v>
      </c>
      <c r="Q18" s="1"/>
      <c r="R18" s="1"/>
    </row>
    <row r="19" spans="3:18" ht="15.75" x14ac:dyDescent="0.25">
      <c r="H19" s="2" t="s">
        <v>67</v>
      </c>
      <c r="I19" s="56">
        <f ca="1">SUBTOTAL(3,OFFSET(I21,1,0,countOfRecord_listKPO,1))</f>
        <v>0</v>
      </c>
      <c r="Q19" s="1"/>
      <c r="R19" s="1"/>
    </row>
    <row r="20" spans="3:18" ht="15.75" x14ac:dyDescent="0.25">
      <c r="H20" s="2" t="s">
        <v>66</v>
      </c>
      <c r="I20" s="56">
        <f ca="1">SUBTOTAL(9,OFFSET(I21,1,0,countOfRecord_listKPO,1))</f>
        <v>0</v>
      </c>
      <c r="Q20" s="1"/>
      <c r="R20" s="1"/>
    </row>
    <row r="21" spans="3:18" ht="47.25" x14ac:dyDescent="0.25">
      <c r="C21" s="51" t="s">
        <v>4</v>
      </c>
      <c r="D21" s="52" t="s">
        <v>0</v>
      </c>
      <c r="E21" s="52" t="s">
        <v>22</v>
      </c>
      <c r="F21" s="52" t="s">
        <v>9</v>
      </c>
      <c r="G21" s="52" t="s">
        <v>10</v>
      </c>
      <c r="H21" s="52" t="s">
        <v>1</v>
      </c>
      <c r="I21" s="53" t="s">
        <v>2</v>
      </c>
      <c r="J21" s="52" t="s">
        <v>11</v>
      </c>
      <c r="K21" s="52" t="s">
        <v>3</v>
      </c>
      <c r="L21" s="52" t="s">
        <v>27</v>
      </c>
      <c r="M21" s="52" t="s">
        <v>28</v>
      </c>
      <c r="N21" s="52" t="s">
        <v>60</v>
      </c>
      <c r="O21" s="52" t="s">
        <v>12</v>
      </c>
      <c r="P21" s="52" t="s">
        <v>13</v>
      </c>
      <c r="Q21" s="52" t="s">
        <v>63</v>
      </c>
      <c r="R21" s="1"/>
    </row>
    <row r="22" spans="3:18" x14ac:dyDescent="0.25">
      <c r="C22" s="4"/>
      <c r="D22" s="5"/>
      <c r="E22" s="41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3:18" x14ac:dyDescent="0.25">
      <c r="C23" s="4"/>
      <c r="D23" s="5"/>
      <c r="E23" s="41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3:18" x14ac:dyDescent="0.25">
      <c r="C24" s="4"/>
      <c r="D24" s="5"/>
      <c r="E24" s="41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3:18" x14ac:dyDescent="0.25">
      <c r="C25" s="4"/>
      <c r="D25" s="5"/>
      <c r="E25" s="41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3:18" x14ac:dyDescent="0.25">
      <c r="C26" s="4"/>
      <c r="D26" s="5"/>
      <c r="E26" s="4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3:18" x14ac:dyDescent="0.25">
      <c r="C27" s="4"/>
      <c r="D27" s="5"/>
      <c r="E27" s="5"/>
      <c r="F27" s="6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3:18" x14ac:dyDescent="0.25">
      <c r="C28" s="4"/>
      <c r="D28" s="5"/>
      <c r="E28" s="5"/>
      <c r="F28" s="6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3:18" x14ac:dyDescent="0.25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</sheetData>
  <sheetProtection sheet="1" objects="1" scenarios="1" formatColumns="0" formatRows="0" sort="0" autoFilter="0" pivotTables="0"/>
  <autoFilter ref="C21:Q24" xr:uid="{DFD3ED2B-21E3-496A-A5BC-595037A1A27D}"/>
  <conditionalFormatting sqref="C22:Q29000">
    <cfRule type="expression" dxfId="25" priority="1">
      <formula>AND(activeRow_ListKPO=ROW(A22),$C22&lt;&gt;"")</formula>
    </cfRule>
    <cfRule type="expression" dxfId="24" priority="2">
      <formula>AND($Q22=FALSE,$Q22&lt;&gt;"")</formula>
    </cfRule>
    <cfRule type="expression" dxfId="23" priority="5">
      <formula>$C22&lt;&gt;""</formula>
    </cfRule>
  </conditionalFormatting>
  <conditionalFormatting sqref="O22:P29000">
    <cfRule type="expression" dxfId="22" priority="3">
      <formula>O22=TRUE</formula>
    </cfRule>
    <cfRule type="expression" dxfId="21" priority="4">
      <formula>AND(O22=FALSE,O22&lt;&gt;"")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Open_newKPO_ADD">
                <anchor moveWithCells="1">
                  <from>
                    <xdr:col>2</xdr:col>
                    <xdr:colOff>285750</xdr:colOff>
                    <xdr:row>15</xdr:row>
                    <xdr:rowOff>171450</xdr:rowOff>
                  </from>
                  <to>
                    <xdr:col>3</xdr:col>
                    <xdr:colOff>781050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Open_newKPO_EDIT">
                <anchor moveWithCells="1">
                  <from>
                    <xdr:col>3</xdr:col>
                    <xdr:colOff>1066800</xdr:colOff>
                    <xdr:row>15</xdr:row>
                    <xdr:rowOff>161925</xdr:rowOff>
                  </from>
                  <to>
                    <xdr:col>4</xdr:col>
                    <xdr:colOff>504825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delete_KPO">
                <anchor moveWithCells="1">
                  <from>
                    <xdr:col>4</xdr:col>
                    <xdr:colOff>762000</xdr:colOff>
                    <xdr:row>15</xdr:row>
                    <xdr:rowOff>152400</xdr:rowOff>
                  </from>
                  <to>
                    <xdr:col>5</xdr:col>
                    <xdr:colOff>771525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hangeStatus">
                <anchor moveWithCells="1">
                  <from>
                    <xdr:col>9</xdr:col>
                    <xdr:colOff>152400</xdr:colOff>
                    <xdr:row>18</xdr:row>
                    <xdr:rowOff>85725</xdr:rowOff>
                  </from>
                  <to>
                    <xdr:col>9</xdr:col>
                    <xdr:colOff>962025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Open_KEO_Generate_ADD">
                <anchor moveWithCells="1">
                  <from>
                    <xdr:col>14</xdr:col>
                    <xdr:colOff>257175</xdr:colOff>
                    <xdr:row>18</xdr:row>
                    <xdr:rowOff>28575</xdr:rowOff>
                  </from>
                  <to>
                    <xdr:col>14</xdr:col>
                    <xdr:colOff>990600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Open_KEO_Receive_ADD">
                <anchor moveWithCells="1">
                  <from>
                    <xdr:col>15</xdr:col>
                    <xdr:colOff>228600</xdr:colOff>
                    <xdr:row>18</xdr:row>
                    <xdr:rowOff>28575</xdr:rowOff>
                  </from>
                  <to>
                    <xdr:col>15</xdr:col>
                    <xdr:colOff>885825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Open_pickYearKPOList">
                <anchor moveWithCells="1">
                  <from>
                    <xdr:col>12</xdr:col>
                    <xdr:colOff>228600</xdr:colOff>
                    <xdr:row>13</xdr:row>
                    <xdr:rowOff>152400</xdr:rowOff>
                  </from>
                  <to>
                    <xdr:col>12</xdr:col>
                    <xdr:colOff>1266825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E6B3-CD86-47DE-BBB8-5118032AB074}">
  <sheetPr codeName="Arkusz2">
    <tabColor theme="5" tint="-0.499984740745262"/>
  </sheetPr>
  <dimension ref="A1:AJ370"/>
  <sheetViews>
    <sheetView showGridLines="0" zoomScale="120" zoomScaleNormal="120" workbookViewId="0">
      <selection activeCell="J22" sqref="C22:J23"/>
    </sheetView>
  </sheetViews>
  <sheetFormatPr defaultColWidth="0" defaultRowHeight="15" x14ac:dyDescent="0.25"/>
  <cols>
    <col min="1" max="1" width="9.140625" customWidth="1"/>
    <col min="2" max="2" width="2.7109375" customWidth="1"/>
    <col min="3" max="3" width="9.140625" customWidth="1"/>
    <col min="4" max="4" width="17.5703125" customWidth="1"/>
    <col min="5" max="5" width="34.140625" customWidth="1"/>
    <col min="6" max="7" width="20" customWidth="1"/>
    <col min="8" max="8" width="19.85546875" customWidth="1"/>
    <col min="9" max="10" width="13.42578125" customWidth="1"/>
    <col min="11" max="11" width="4.7109375" customWidth="1"/>
    <col min="12" max="12" width="5.140625" customWidth="1"/>
    <col min="13" max="13" width="15.5703125" customWidth="1"/>
    <col min="14" max="14" width="11.28515625" customWidth="1"/>
    <col min="15" max="15" width="14.85546875" customWidth="1"/>
    <col min="16" max="23" width="9.140625" customWidth="1"/>
    <col min="24" max="36" width="0" hidden="1" customWidth="1"/>
    <col min="37" max="16384" width="9.140625" hidden="1"/>
  </cols>
  <sheetData>
    <row r="1" spans="1:36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</row>
    <row r="2" spans="1:36" ht="26.25" x14ac:dyDescent="0.4">
      <c r="A2" s="14"/>
      <c r="B2" s="14"/>
      <c r="C2" s="14"/>
      <c r="D2" s="38" t="s">
        <v>53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</row>
    <row r="3" spans="1:36" ht="21.75" customHeight="1" x14ac:dyDescent="0.45">
      <c r="A3" s="14"/>
      <c r="B3" s="14"/>
      <c r="C3" s="14"/>
      <c r="D3" s="39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</row>
    <row r="4" spans="1:36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</row>
    <row r="5" spans="1:36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</row>
    <row r="6" spans="1:36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</row>
    <row r="10" spans="1:36" hidden="1" x14ac:dyDescent="0.25"/>
    <row r="11" spans="1:36" hidden="1" x14ac:dyDescent="0.25"/>
    <row r="12" spans="1:36" hidden="1" x14ac:dyDescent="0.25"/>
    <row r="13" spans="1:36" hidden="1" x14ac:dyDescent="0.25"/>
    <row r="14" spans="1:36" hidden="1" x14ac:dyDescent="0.25"/>
    <row r="15" spans="1:36" hidden="1" x14ac:dyDescent="0.25"/>
    <row r="16" spans="1:36" hidden="1" x14ac:dyDescent="0.25"/>
    <row r="17" spans="3:15" hidden="1" x14ac:dyDescent="0.25"/>
    <row r="20" spans="3:15" x14ac:dyDescent="0.25">
      <c r="M20" s="3" t="s">
        <v>19</v>
      </c>
    </row>
    <row r="21" spans="3:15" ht="30" x14ac:dyDescent="0.25">
      <c r="C21" s="7" t="s">
        <v>4</v>
      </c>
      <c r="D21" s="7" t="s">
        <v>5</v>
      </c>
      <c r="E21" s="7" t="s">
        <v>6</v>
      </c>
      <c r="F21" s="7" t="s">
        <v>7</v>
      </c>
      <c r="G21" s="7" t="s">
        <v>61</v>
      </c>
      <c r="H21" s="8" t="s">
        <v>8</v>
      </c>
      <c r="I21" s="8" t="s">
        <v>24</v>
      </c>
      <c r="J21" s="8" t="s">
        <v>25</v>
      </c>
      <c r="M21" s="7" t="s">
        <v>20</v>
      </c>
      <c r="N21" s="7" t="s">
        <v>70</v>
      </c>
      <c r="O21" s="7" t="s">
        <v>18</v>
      </c>
    </row>
    <row r="22" spans="3:15" ht="18.75" customHeight="1" x14ac:dyDescent="0.25">
      <c r="C22" s="4"/>
      <c r="D22" s="4"/>
      <c r="E22" s="5"/>
      <c r="F22" s="5"/>
      <c r="G22" s="54"/>
      <c r="H22" s="5"/>
      <c r="I22" s="41"/>
      <c r="J22" s="41"/>
      <c r="M22" s="4"/>
      <c r="N22" s="4"/>
      <c r="O22" s="4"/>
    </row>
    <row r="23" spans="3:15" x14ac:dyDescent="0.25">
      <c r="C23" s="4"/>
      <c r="D23" s="4"/>
      <c r="E23" s="5"/>
      <c r="F23" s="5"/>
      <c r="G23" s="54"/>
      <c r="H23" s="5"/>
      <c r="I23" s="41"/>
      <c r="J23" s="41"/>
      <c r="M23" s="4"/>
      <c r="N23" s="4"/>
      <c r="O23" s="4"/>
    </row>
    <row r="24" spans="3:15" x14ac:dyDescent="0.25">
      <c r="C24" s="4"/>
      <c r="D24" s="4"/>
      <c r="E24" s="5"/>
      <c r="F24" s="5"/>
      <c r="G24" s="54"/>
      <c r="H24" s="4"/>
      <c r="I24" s="42"/>
      <c r="J24" s="42"/>
    </row>
    <row r="25" spans="3:15" x14ac:dyDescent="0.25">
      <c r="C25" s="4"/>
      <c r="D25" s="4"/>
      <c r="E25" s="5"/>
      <c r="F25" s="5"/>
      <c r="G25" s="54"/>
      <c r="H25" s="4"/>
      <c r="I25" s="42"/>
      <c r="J25" s="42"/>
    </row>
    <row r="26" spans="3:15" x14ac:dyDescent="0.25">
      <c r="E26" s="1"/>
      <c r="F26" s="1"/>
      <c r="G26" s="55"/>
    </row>
    <row r="27" spans="3:15" x14ac:dyDescent="0.25">
      <c r="E27" s="1"/>
      <c r="F27" s="1"/>
      <c r="G27" s="55"/>
    </row>
    <row r="28" spans="3:15" x14ac:dyDescent="0.25">
      <c r="E28" s="1"/>
      <c r="F28" s="1"/>
      <c r="G28" s="55"/>
    </row>
    <row r="29" spans="3:15" x14ac:dyDescent="0.25">
      <c r="D29" s="44"/>
      <c r="E29" s="1"/>
      <c r="F29" s="1"/>
      <c r="G29" s="55"/>
    </row>
    <row r="30" spans="3:15" x14ac:dyDescent="0.25">
      <c r="E30" s="1"/>
      <c r="F30" s="1"/>
      <c r="G30" s="55"/>
    </row>
    <row r="31" spans="3:15" x14ac:dyDescent="0.25">
      <c r="E31" s="1"/>
      <c r="F31" s="1"/>
      <c r="G31" s="55"/>
    </row>
    <row r="32" spans="3:15" x14ac:dyDescent="0.25">
      <c r="E32" s="1"/>
      <c r="F32" s="1"/>
      <c r="G32" s="55"/>
    </row>
    <row r="33" spans="5:7" x14ac:dyDescent="0.25">
      <c r="E33" s="1"/>
      <c r="F33" s="1"/>
      <c r="G33" s="55"/>
    </row>
    <row r="34" spans="5:7" x14ac:dyDescent="0.25">
      <c r="E34" s="1"/>
      <c r="F34" s="1"/>
      <c r="G34" s="55"/>
    </row>
    <row r="35" spans="5:7" x14ac:dyDescent="0.25">
      <c r="E35" s="1"/>
      <c r="F35" s="1"/>
      <c r="G35" s="55"/>
    </row>
    <row r="36" spans="5:7" x14ac:dyDescent="0.25">
      <c r="E36" s="1"/>
      <c r="F36" s="1"/>
      <c r="G36" s="55"/>
    </row>
    <row r="37" spans="5:7" x14ac:dyDescent="0.25">
      <c r="E37" s="1"/>
      <c r="F37" s="1"/>
      <c r="G37" s="55"/>
    </row>
    <row r="38" spans="5:7" x14ac:dyDescent="0.25">
      <c r="E38" s="1"/>
      <c r="F38" s="1"/>
      <c r="G38" s="55"/>
    </row>
    <row r="39" spans="5:7" x14ac:dyDescent="0.25">
      <c r="E39" s="1"/>
      <c r="F39" s="1"/>
      <c r="G39" s="55"/>
    </row>
    <row r="40" spans="5:7" x14ac:dyDescent="0.25">
      <c r="E40" s="1"/>
      <c r="F40" s="1"/>
      <c r="G40" s="55"/>
    </row>
    <row r="41" spans="5:7" x14ac:dyDescent="0.25">
      <c r="E41" s="1"/>
      <c r="F41" s="1"/>
      <c r="G41" s="55"/>
    </row>
    <row r="42" spans="5:7" x14ac:dyDescent="0.25">
      <c r="E42" s="1"/>
      <c r="F42" s="1"/>
      <c r="G42" s="55"/>
    </row>
    <row r="43" spans="5:7" x14ac:dyDescent="0.25">
      <c r="E43" s="1"/>
      <c r="F43" s="1"/>
      <c r="G43" s="55"/>
    </row>
    <row r="44" spans="5:7" x14ac:dyDescent="0.25">
      <c r="E44" s="1"/>
      <c r="F44" s="1"/>
      <c r="G44" s="55"/>
    </row>
    <row r="45" spans="5:7" x14ac:dyDescent="0.25">
      <c r="E45" s="1"/>
      <c r="F45" s="1"/>
      <c r="G45" s="55"/>
    </row>
    <row r="46" spans="5:7" x14ac:dyDescent="0.25">
      <c r="E46" s="1"/>
      <c r="F46" s="1"/>
      <c r="G46" s="55"/>
    </row>
    <row r="47" spans="5:7" x14ac:dyDescent="0.25">
      <c r="E47" s="1"/>
      <c r="F47" s="1"/>
      <c r="G47" s="55"/>
    </row>
    <row r="48" spans="5:7" x14ac:dyDescent="0.25">
      <c r="E48" s="1"/>
      <c r="F48" s="1"/>
      <c r="G48" s="55"/>
    </row>
    <row r="49" spans="5:7" x14ac:dyDescent="0.25">
      <c r="E49" s="1"/>
      <c r="F49" s="1"/>
      <c r="G49" s="55"/>
    </row>
    <row r="50" spans="5:7" x14ac:dyDescent="0.25">
      <c r="E50" s="1"/>
      <c r="F50" s="1"/>
      <c r="G50" s="55"/>
    </row>
    <row r="51" spans="5:7" x14ac:dyDescent="0.25">
      <c r="E51" s="1"/>
      <c r="F51" s="1"/>
      <c r="G51" s="55"/>
    </row>
    <row r="52" spans="5:7" x14ac:dyDescent="0.25">
      <c r="E52" s="1"/>
      <c r="F52" s="1"/>
      <c r="G52" s="55"/>
    </row>
    <row r="53" spans="5:7" x14ac:dyDescent="0.25">
      <c r="E53" s="1"/>
      <c r="F53" s="1"/>
      <c r="G53" s="55"/>
    </row>
    <row r="54" spans="5:7" x14ac:dyDescent="0.25">
      <c r="E54" s="1"/>
      <c r="F54" s="1"/>
      <c r="G54" s="55"/>
    </row>
    <row r="55" spans="5:7" x14ac:dyDescent="0.25">
      <c r="E55" s="1"/>
      <c r="F55" s="1"/>
      <c r="G55" s="55"/>
    </row>
    <row r="56" spans="5:7" x14ac:dyDescent="0.25">
      <c r="E56" s="1"/>
      <c r="F56" s="1"/>
      <c r="G56" s="55"/>
    </row>
    <row r="57" spans="5:7" x14ac:dyDescent="0.25">
      <c r="E57" s="1"/>
      <c r="F57" s="1"/>
      <c r="G57" s="55"/>
    </row>
    <row r="58" spans="5:7" x14ac:dyDescent="0.25">
      <c r="E58" s="1"/>
      <c r="F58" s="1"/>
      <c r="G58" s="55"/>
    </row>
    <row r="59" spans="5:7" x14ac:dyDescent="0.25">
      <c r="E59" s="1"/>
      <c r="F59" s="1"/>
      <c r="G59" s="55"/>
    </row>
    <row r="60" spans="5:7" x14ac:dyDescent="0.25">
      <c r="E60" s="1"/>
      <c r="F60" s="1"/>
      <c r="G60" s="55"/>
    </row>
    <row r="61" spans="5:7" x14ac:dyDescent="0.25">
      <c r="E61" s="1"/>
      <c r="F61" s="1"/>
      <c r="G61" s="55"/>
    </row>
    <row r="62" spans="5:7" x14ac:dyDescent="0.25">
      <c r="E62" s="1"/>
      <c r="F62" s="1"/>
      <c r="G62" s="55"/>
    </row>
    <row r="63" spans="5:7" x14ac:dyDescent="0.25">
      <c r="E63" s="1"/>
      <c r="F63" s="1"/>
      <c r="G63" s="55"/>
    </row>
    <row r="64" spans="5:7" x14ac:dyDescent="0.25">
      <c r="E64" s="1"/>
      <c r="F64" s="1"/>
      <c r="G64" s="55"/>
    </row>
    <row r="65" spans="5:7" x14ac:dyDescent="0.25">
      <c r="E65" s="1"/>
      <c r="F65" s="1"/>
      <c r="G65" s="55"/>
    </row>
    <row r="66" spans="5:7" x14ac:dyDescent="0.25">
      <c r="E66" s="1"/>
      <c r="F66" s="1"/>
      <c r="G66" s="55"/>
    </row>
    <row r="67" spans="5:7" x14ac:dyDescent="0.25">
      <c r="E67" s="1"/>
      <c r="F67" s="1"/>
      <c r="G67" s="55"/>
    </row>
    <row r="68" spans="5:7" x14ac:dyDescent="0.25">
      <c r="E68" s="1"/>
      <c r="F68" s="1"/>
      <c r="G68" s="55"/>
    </row>
    <row r="69" spans="5:7" x14ac:dyDescent="0.25">
      <c r="E69" s="1"/>
      <c r="F69" s="1"/>
      <c r="G69" s="55"/>
    </row>
    <row r="70" spans="5:7" x14ac:dyDescent="0.25">
      <c r="E70" s="1"/>
      <c r="F70" s="1"/>
      <c r="G70" s="55"/>
    </row>
    <row r="71" spans="5:7" x14ac:dyDescent="0.25">
      <c r="E71" s="1"/>
      <c r="F71" s="1"/>
      <c r="G71" s="55"/>
    </row>
    <row r="72" spans="5:7" x14ac:dyDescent="0.25">
      <c r="E72" s="1"/>
      <c r="F72" s="1"/>
      <c r="G72" s="55"/>
    </row>
    <row r="73" spans="5:7" x14ac:dyDescent="0.25">
      <c r="E73" s="1"/>
      <c r="F73" s="1"/>
      <c r="G73" s="55"/>
    </row>
    <row r="74" spans="5:7" x14ac:dyDescent="0.25">
      <c r="E74" s="1"/>
      <c r="F74" s="1"/>
      <c r="G74" s="55"/>
    </row>
    <row r="75" spans="5:7" x14ac:dyDescent="0.25">
      <c r="E75" s="1"/>
      <c r="F75" s="1"/>
      <c r="G75" s="55"/>
    </row>
    <row r="76" spans="5:7" x14ac:dyDescent="0.25">
      <c r="E76" s="1"/>
      <c r="F76" s="1"/>
      <c r="G76" s="55"/>
    </row>
    <row r="77" spans="5:7" x14ac:dyDescent="0.25">
      <c r="E77" s="1"/>
      <c r="F77" s="1"/>
      <c r="G77" s="55"/>
    </row>
    <row r="78" spans="5:7" x14ac:dyDescent="0.25">
      <c r="E78" s="1"/>
      <c r="F78" s="1"/>
      <c r="G78" s="55"/>
    </row>
    <row r="79" spans="5:7" x14ac:dyDescent="0.25">
      <c r="E79" s="1"/>
      <c r="F79" s="1"/>
      <c r="G79" s="55"/>
    </row>
    <row r="80" spans="5:7" x14ac:dyDescent="0.25">
      <c r="E80" s="1"/>
      <c r="F80" s="1"/>
      <c r="G80" s="55"/>
    </row>
    <row r="81" spans="5:7" x14ac:dyDescent="0.25">
      <c r="E81" s="1"/>
      <c r="F81" s="1"/>
      <c r="G81" s="55"/>
    </row>
    <row r="82" spans="5:7" x14ac:dyDescent="0.25">
      <c r="E82" s="1"/>
      <c r="F82" s="1"/>
      <c r="G82" s="55"/>
    </row>
    <row r="83" spans="5:7" x14ac:dyDescent="0.25">
      <c r="E83" s="1"/>
      <c r="F83" s="1"/>
      <c r="G83" s="55"/>
    </row>
    <row r="84" spans="5:7" x14ac:dyDescent="0.25">
      <c r="E84" s="1"/>
      <c r="F84" s="1"/>
      <c r="G84" s="55"/>
    </row>
    <row r="85" spans="5:7" x14ac:dyDescent="0.25">
      <c r="E85" s="1"/>
      <c r="F85" s="1"/>
      <c r="G85" s="55"/>
    </row>
    <row r="86" spans="5:7" x14ac:dyDescent="0.25">
      <c r="E86" s="1"/>
      <c r="F86" s="1"/>
      <c r="G86" s="55"/>
    </row>
    <row r="87" spans="5:7" x14ac:dyDescent="0.25">
      <c r="E87" s="1"/>
      <c r="F87" s="1"/>
      <c r="G87" s="55"/>
    </row>
    <row r="88" spans="5:7" x14ac:dyDescent="0.25">
      <c r="E88" s="1"/>
      <c r="F88" s="1"/>
      <c r="G88" s="55"/>
    </row>
    <row r="89" spans="5:7" x14ac:dyDescent="0.25">
      <c r="E89" s="1"/>
      <c r="F89" s="1"/>
      <c r="G89" s="55"/>
    </row>
    <row r="90" spans="5:7" x14ac:dyDescent="0.25">
      <c r="E90" s="1"/>
      <c r="F90" s="1"/>
      <c r="G90" s="55"/>
    </row>
    <row r="91" spans="5:7" x14ac:dyDescent="0.25">
      <c r="E91" s="1"/>
      <c r="F91" s="1"/>
      <c r="G91" s="55"/>
    </row>
    <row r="92" spans="5:7" x14ac:dyDescent="0.25">
      <c r="E92" s="1"/>
      <c r="F92" s="1"/>
      <c r="G92" s="55"/>
    </row>
    <row r="93" spans="5:7" x14ac:dyDescent="0.25">
      <c r="E93" s="1"/>
      <c r="F93" s="1"/>
      <c r="G93" s="55"/>
    </row>
    <row r="94" spans="5:7" x14ac:dyDescent="0.25">
      <c r="E94" s="1"/>
      <c r="F94" s="1"/>
      <c r="G94" s="55"/>
    </row>
    <row r="95" spans="5:7" x14ac:dyDescent="0.25">
      <c r="E95" s="1"/>
      <c r="F95" s="1"/>
      <c r="G95" s="55"/>
    </row>
    <row r="96" spans="5:7" x14ac:dyDescent="0.25">
      <c r="E96" s="1"/>
      <c r="F96" s="1"/>
      <c r="G96" s="55"/>
    </row>
    <row r="97" spans="5:7" x14ac:dyDescent="0.25">
      <c r="E97" s="1"/>
      <c r="F97" s="1"/>
      <c r="G97" s="55"/>
    </row>
    <row r="98" spans="5:7" x14ac:dyDescent="0.25">
      <c r="E98" s="1"/>
      <c r="F98" s="1"/>
      <c r="G98" s="55"/>
    </row>
    <row r="99" spans="5:7" x14ac:dyDescent="0.25">
      <c r="E99" s="1"/>
      <c r="F99" s="1"/>
      <c r="G99" s="55"/>
    </row>
    <row r="100" spans="5:7" x14ac:dyDescent="0.25">
      <c r="E100" s="1"/>
      <c r="F100" s="1"/>
      <c r="G100" s="55"/>
    </row>
    <row r="101" spans="5:7" x14ac:dyDescent="0.25">
      <c r="E101" s="1"/>
      <c r="F101" s="1"/>
      <c r="G101" s="55"/>
    </row>
    <row r="102" spans="5:7" x14ac:dyDescent="0.25">
      <c r="E102" s="1"/>
      <c r="F102" s="1"/>
      <c r="G102" s="55"/>
    </row>
    <row r="103" spans="5:7" x14ac:dyDescent="0.25">
      <c r="E103" s="1"/>
      <c r="F103" s="1"/>
      <c r="G103" s="55"/>
    </row>
    <row r="104" spans="5:7" x14ac:dyDescent="0.25">
      <c r="E104" s="1"/>
      <c r="F104" s="1"/>
      <c r="G104" s="55"/>
    </row>
    <row r="105" spans="5:7" x14ac:dyDescent="0.25">
      <c r="E105" s="1"/>
      <c r="F105" s="1"/>
      <c r="G105" s="55"/>
    </row>
    <row r="106" spans="5:7" x14ac:dyDescent="0.25">
      <c r="E106" s="1"/>
      <c r="F106" s="1"/>
      <c r="G106" s="55"/>
    </row>
    <row r="107" spans="5:7" x14ac:dyDescent="0.25">
      <c r="E107" s="1"/>
      <c r="F107" s="1"/>
      <c r="G107" s="55"/>
    </row>
    <row r="108" spans="5:7" x14ac:dyDescent="0.25">
      <c r="E108" s="1"/>
      <c r="F108" s="1"/>
      <c r="G108" s="55"/>
    </row>
    <row r="109" spans="5:7" x14ac:dyDescent="0.25">
      <c r="E109" s="1"/>
      <c r="F109" s="1"/>
      <c r="G109" s="55"/>
    </row>
    <row r="110" spans="5:7" x14ac:dyDescent="0.25">
      <c r="E110" s="1"/>
      <c r="F110" s="1"/>
      <c r="G110" s="55"/>
    </row>
    <row r="111" spans="5:7" x14ac:dyDescent="0.25">
      <c r="E111" s="1"/>
      <c r="F111" s="1"/>
      <c r="G111" s="55"/>
    </row>
    <row r="112" spans="5:7" x14ac:dyDescent="0.25">
      <c r="E112" s="1"/>
      <c r="F112" s="1"/>
      <c r="G112" s="55"/>
    </row>
    <row r="113" spans="5:7" x14ac:dyDescent="0.25">
      <c r="E113" s="1"/>
      <c r="F113" s="1"/>
      <c r="G113" s="55"/>
    </row>
    <row r="114" spans="5:7" x14ac:dyDescent="0.25">
      <c r="E114" s="1"/>
      <c r="F114" s="1"/>
      <c r="G114" s="55"/>
    </row>
    <row r="115" spans="5:7" x14ac:dyDescent="0.25">
      <c r="E115" s="1"/>
      <c r="F115" s="1"/>
      <c r="G115" s="55"/>
    </row>
    <row r="116" spans="5:7" x14ac:dyDescent="0.25">
      <c r="E116" s="1"/>
      <c r="F116" s="1"/>
      <c r="G116" s="55"/>
    </row>
    <row r="117" spans="5:7" x14ac:dyDescent="0.25">
      <c r="E117" s="1"/>
      <c r="F117" s="1"/>
      <c r="G117" s="55"/>
    </row>
    <row r="118" spans="5:7" x14ac:dyDescent="0.25">
      <c r="E118" s="1"/>
      <c r="F118" s="1"/>
      <c r="G118" s="55"/>
    </row>
    <row r="119" spans="5:7" x14ac:dyDescent="0.25">
      <c r="E119" s="1"/>
      <c r="F119" s="1"/>
      <c r="G119" s="55"/>
    </row>
    <row r="120" spans="5:7" x14ac:dyDescent="0.25">
      <c r="E120" s="1"/>
      <c r="F120" s="1"/>
      <c r="G120" s="55"/>
    </row>
    <row r="121" spans="5:7" x14ac:dyDescent="0.25">
      <c r="E121" s="1"/>
      <c r="F121" s="1"/>
      <c r="G121" s="55"/>
    </row>
    <row r="122" spans="5:7" x14ac:dyDescent="0.25">
      <c r="E122" s="1"/>
      <c r="F122" s="1"/>
      <c r="G122" s="55"/>
    </row>
    <row r="123" spans="5:7" x14ac:dyDescent="0.25">
      <c r="E123" s="1"/>
      <c r="F123" s="1"/>
      <c r="G123" s="55"/>
    </row>
    <row r="124" spans="5:7" x14ac:dyDescent="0.25">
      <c r="E124" s="1"/>
      <c r="F124" s="1"/>
      <c r="G124" s="55"/>
    </row>
    <row r="125" spans="5:7" x14ac:dyDescent="0.25">
      <c r="E125" s="1"/>
      <c r="F125" s="1"/>
      <c r="G125" s="55"/>
    </row>
    <row r="126" spans="5:7" x14ac:dyDescent="0.25">
      <c r="E126" s="1"/>
      <c r="F126" s="1"/>
      <c r="G126" s="55"/>
    </row>
    <row r="127" spans="5:7" x14ac:dyDescent="0.25">
      <c r="E127" s="1"/>
      <c r="F127" s="1"/>
      <c r="G127" s="55"/>
    </row>
    <row r="128" spans="5:7" x14ac:dyDescent="0.25">
      <c r="E128" s="1"/>
      <c r="F128" s="1"/>
      <c r="G128" s="55"/>
    </row>
    <row r="129" spans="5:7" x14ac:dyDescent="0.25">
      <c r="E129" s="1"/>
      <c r="F129" s="1"/>
      <c r="G129" s="55"/>
    </row>
    <row r="130" spans="5:7" x14ac:dyDescent="0.25">
      <c r="E130" s="1"/>
      <c r="F130" s="1"/>
      <c r="G130" s="55"/>
    </row>
    <row r="131" spans="5:7" x14ac:dyDescent="0.25">
      <c r="E131" s="1"/>
      <c r="F131" s="1"/>
      <c r="G131" s="55"/>
    </row>
    <row r="132" spans="5:7" x14ac:dyDescent="0.25">
      <c r="E132" s="1"/>
      <c r="F132" s="1"/>
      <c r="G132" s="55"/>
    </row>
    <row r="133" spans="5:7" x14ac:dyDescent="0.25">
      <c r="E133" s="1"/>
      <c r="F133" s="1"/>
      <c r="G133" s="55"/>
    </row>
    <row r="134" spans="5:7" x14ac:dyDescent="0.25">
      <c r="E134" s="1"/>
      <c r="F134" s="1"/>
      <c r="G134" s="55"/>
    </row>
    <row r="135" spans="5:7" x14ac:dyDescent="0.25">
      <c r="E135" s="1"/>
      <c r="F135" s="1"/>
      <c r="G135" s="55"/>
    </row>
    <row r="136" spans="5:7" x14ac:dyDescent="0.25">
      <c r="E136" s="1"/>
      <c r="F136" s="1"/>
      <c r="G136" s="55"/>
    </row>
    <row r="137" spans="5:7" x14ac:dyDescent="0.25">
      <c r="E137" s="1"/>
      <c r="F137" s="1"/>
      <c r="G137" s="55"/>
    </row>
    <row r="138" spans="5:7" x14ac:dyDescent="0.25">
      <c r="E138" s="1"/>
      <c r="F138" s="1"/>
      <c r="G138" s="55"/>
    </row>
    <row r="139" spans="5:7" x14ac:dyDescent="0.25">
      <c r="E139" s="1"/>
      <c r="F139" s="1"/>
      <c r="G139" s="55"/>
    </row>
    <row r="140" spans="5:7" x14ac:dyDescent="0.25">
      <c r="E140" s="1"/>
      <c r="F140" s="1"/>
      <c r="G140" s="55"/>
    </row>
    <row r="141" spans="5:7" x14ac:dyDescent="0.25">
      <c r="E141" s="1"/>
      <c r="F141" s="1"/>
      <c r="G141" s="55"/>
    </row>
    <row r="142" spans="5:7" x14ac:dyDescent="0.25">
      <c r="E142" s="1"/>
      <c r="F142" s="1"/>
      <c r="G142" s="55"/>
    </row>
    <row r="143" spans="5:7" x14ac:dyDescent="0.25">
      <c r="E143" s="1"/>
      <c r="F143" s="1"/>
      <c r="G143" s="55"/>
    </row>
    <row r="144" spans="5:7" x14ac:dyDescent="0.25">
      <c r="E144" s="1"/>
      <c r="F144" s="1"/>
      <c r="G144" s="55"/>
    </row>
    <row r="145" spans="5:7" x14ac:dyDescent="0.25">
      <c r="E145" s="1"/>
      <c r="F145" s="1"/>
      <c r="G145" s="55"/>
    </row>
    <row r="146" spans="5:7" x14ac:dyDescent="0.25">
      <c r="E146" s="1"/>
      <c r="F146" s="1"/>
      <c r="G146" s="55"/>
    </row>
    <row r="147" spans="5:7" x14ac:dyDescent="0.25">
      <c r="E147" s="1"/>
      <c r="F147" s="1"/>
      <c r="G147" s="55"/>
    </row>
    <row r="148" spans="5:7" x14ac:dyDescent="0.25">
      <c r="E148" s="1"/>
      <c r="F148" s="1"/>
      <c r="G148" s="55"/>
    </row>
    <row r="149" spans="5:7" x14ac:dyDescent="0.25">
      <c r="E149" s="1"/>
      <c r="F149" s="1"/>
      <c r="G149" s="55"/>
    </row>
    <row r="150" spans="5:7" x14ac:dyDescent="0.25">
      <c r="E150" s="1"/>
      <c r="F150" s="1"/>
      <c r="G150" s="55"/>
    </row>
    <row r="151" spans="5:7" x14ac:dyDescent="0.25">
      <c r="E151" s="1"/>
      <c r="F151" s="1"/>
      <c r="G151" s="55"/>
    </row>
    <row r="152" spans="5:7" x14ac:dyDescent="0.25">
      <c r="E152" s="1"/>
      <c r="F152" s="1"/>
      <c r="G152" s="55"/>
    </row>
    <row r="153" spans="5:7" x14ac:dyDescent="0.25">
      <c r="E153" s="1"/>
      <c r="F153" s="1"/>
      <c r="G153" s="55"/>
    </row>
    <row r="154" spans="5:7" x14ac:dyDescent="0.25">
      <c r="E154" s="1"/>
      <c r="F154" s="1"/>
      <c r="G154" s="55"/>
    </row>
    <row r="155" spans="5:7" x14ac:dyDescent="0.25">
      <c r="E155" s="1"/>
      <c r="F155" s="1"/>
      <c r="G155" s="55"/>
    </row>
    <row r="156" spans="5:7" x14ac:dyDescent="0.25">
      <c r="E156" s="1"/>
      <c r="F156" s="1"/>
      <c r="G156" s="55"/>
    </row>
    <row r="157" spans="5:7" x14ac:dyDescent="0.25">
      <c r="E157" s="1"/>
      <c r="F157" s="1"/>
      <c r="G157" s="55"/>
    </row>
    <row r="158" spans="5:7" x14ac:dyDescent="0.25">
      <c r="E158" s="1"/>
      <c r="F158" s="1"/>
      <c r="G158" s="55"/>
    </row>
    <row r="159" spans="5:7" x14ac:dyDescent="0.25">
      <c r="E159" s="1"/>
      <c r="F159" s="1"/>
      <c r="G159" s="55"/>
    </row>
    <row r="160" spans="5:7" x14ac:dyDescent="0.25">
      <c r="E160" s="1"/>
      <c r="F160" s="1"/>
      <c r="G160" s="55"/>
    </row>
    <row r="161" spans="5:7" x14ac:dyDescent="0.25">
      <c r="E161" s="1"/>
      <c r="F161" s="1"/>
      <c r="G161" s="55"/>
    </row>
    <row r="162" spans="5:7" x14ac:dyDescent="0.25">
      <c r="E162" s="1"/>
      <c r="F162" s="1"/>
      <c r="G162" s="55"/>
    </row>
    <row r="163" spans="5:7" x14ac:dyDescent="0.25">
      <c r="E163" s="1"/>
      <c r="F163" s="1"/>
      <c r="G163" s="55"/>
    </row>
    <row r="164" spans="5:7" x14ac:dyDescent="0.25">
      <c r="E164" s="1"/>
      <c r="F164" s="1"/>
      <c r="G164" s="55"/>
    </row>
    <row r="165" spans="5:7" x14ac:dyDescent="0.25">
      <c r="E165" s="1"/>
      <c r="F165" s="1"/>
      <c r="G165" s="55"/>
    </row>
    <row r="166" spans="5:7" x14ac:dyDescent="0.25">
      <c r="E166" s="1"/>
      <c r="F166" s="1"/>
      <c r="G166" s="55"/>
    </row>
    <row r="167" spans="5:7" x14ac:dyDescent="0.25">
      <c r="E167" s="1"/>
      <c r="F167" s="1"/>
      <c r="G167" s="55"/>
    </row>
    <row r="168" spans="5:7" x14ac:dyDescent="0.25">
      <c r="E168" s="1"/>
      <c r="F168" s="1"/>
      <c r="G168" s="55"/>
    </row>
    <row r="169" spans="5:7" x14ac:dyDescent="0.25">
      <c r="E169" s="1"/>
      <c r="F169" s="1"/>
      <c r="G169" s="55"/>
    </row>
    <row r="170" spans="5:7" x14ac:dyDescent="0.25">
      <c r="E170" s="1"/>
      <c r="F170" s="1"/>
      <c r="G170" s="55"/>
    </row>
    <row r="171" spans="5:7" x14ac:dyDescent="0.25">
      <c r="E171" s="1"/>
      <c r="F171" s="1"/>
      <c r="G171" s="55"/>
    </row>
    <row r="172" spans="5:7" x14ac:dyDescent="0.25">
      <c r="E172" s="1"/>
      <c r="F172" s="1"/>
      <c r="G172" s="55"/>
    </row>
    <row r="173" spans="5:7" x14ac:dyDescent="0.25">
      <c r="E173" s="1"/>
      <c r="F173" s="1"/>
      <c r="G173" s="55"/>
    </row>
    <row r="174" spans="5:7" x14ac:dyDescent="0.25">
      <c r="E174" s="1"/>
      <c r="F174" s="1"/>
      <c r="G174" s="55"/>
    </row>
    <row r="175" spans="5:7" x14ac:dyDescent="0.25">
      <c r="E175" s="1"/>
      <c r="F175" s="1"/>
      <c r="G175" s="55"/>
    </row>
    <row r="176" spans="5:7" x14ac:dyDescent="0.25">
      <c r="E176" s="1"/>
      <c r="F176" s="1"/>
      <c r="G176" s="55"/>
    </row>
    <row r="177" spans="5:7" x14ac:dyDescent="0.25">
      <c r="E177" s="1"/>
      <c r="F177" s="1"/>
      <c r="G177" s="55"/>
    </row>
    <row r="178" spans="5:7" x14ac:dyDescent="0.25">
      <c r="E178" s="1"/>
      <c r="F178" s="1"/>
      <c r="G178" s="55"/>
    </row>
    <row r="179" spans="5:7" x14ac:dyDescent="0.25">
      <c r="E179" s="1"/>
      <c r="F179" s="1"/>
      <c r="G179" s="55"/>
    </row>
    <row r="180" spans="5:7" x14ac:dyDescent="0.25">
      <c r="E180" s="1"/>
      <c r="F180" s="1"/>
      <c r="G180" s="55"/>
    </row>
    <row r="181" spans="5:7" x14ac:dyDescent="0.25">
      <c r="E181" s="1"/>
      <c r="F181" s="1"/>
      <c r="G181" s="55"/>
    </row>
    <row r="182" spans="5:7" x14ac:dyDescent="0.25">
      <c r="E182" s="1"/>
      <c r="F182" s="1"/>
      <c r="G182" s="55"/>
    </row>
    <row r="183" spans="5:7" x14ac:dyDescent="0.25">
      <c r="E183" s="1"/>
      <c r="F183" s="1"/>
      <c r="G183" s="55"/>
    </row>
    <row r="184" spans="5:7" x14ac:dyDescent="0.25">
      <c r="E184" s="1"/>
      <c r="F184" s="1"/>
      <c r="G184" s="55"/>
    </row>
    <row r="185" spans="5:7" x14ac:dyDescent="0.25">
      <c r="E185" s="1"/>
      <c r="F185" s="1"/>
      <c r="G185" s="55"/>
    </row>
    <row r="186" spans="5:7" x14ac:dyDescent="0.25">
      <c r="E186" s="1"/>
      <c r="F186" s="1"/>
      <c r="G186" s="55"/>
    </row>
    <row r="187" spans="5:7" x14ac:dyDescent="0.25">
      <c r="E187" s="1"/>
      <c r="F187" s="1"/>
      <c r="G187" s="55"/>
    </row>
    <row r="188" spans="5:7" x14ac:dyDescent="0.25">
      <c r="E188" s="1"/>
      <c r="F188" s="1"/>
      <c r="G188" s="55"/>
    </row>
    <row r="189" spans="5:7" x14ac:dyDescent="0.25">
      <c r="E189" s="1"/>
      <c r="F189" s="1"/>
      <c r="G189" s="55"/>
    </row>
    <row r="190" spans="5:7" x14ac:dyDescent="0.25">
      <c r="E190" s="1"/>
      <c r="F190" s="1"/>
      <c r="G190" s="55"/>
    </row>
    <row r="191" spans="5:7" x14ac:dyDescent="0.25">
      <c r="E191" s="1"/>
      <c r="F191" s="1"/>
      <c r="G191" s="55"/>
    </row>
    <row r="192" spans="5:7" x14ac:dyDescent="0.25">
      <c r="E192" s="1"/>
      <c r="F192" s="1"/>
      <c r="G192" s="55"/>
    </row>
    <row r="193" spans="5:7" x14ac:dyDescent="0.25">
      <c r="E193" s="1"/>
      <c r="F193" s="1"/>
      <c r="G193" s="55"/>
    </row>
    <row r="194" spans="5:7" x14ac:dyDescent="0.25">
      <c r="E194" s="1"/>
      <c r="F194" s="1"/>
      <c r="G194" s="55"/>
    </row>
    <row r="195" spans="5:7" x14ac:dyDescent="0.25">
      <c r="E195" s="1"/>
      <c r="F195" s="1"/>
      <c r="G195" s="55"/>
    </row>
    <row r="196" spans="5:7" x14ac:dyDescent="0.25">
      <c r="E196" s="1"/>
      <c r="F196" s="1"/>
      <c r="G196" s="55"/>
    </row>
    <row r="197" spans="5:7" x14ac:dyDescent="0.25">
      <c r="E197" s="1"/>
      <c r="F197" s="1"/>
      <c r="G197" s="55"/>
    </row>
    <row r="198" spans="5:7" x14ac:dyDescent="0.25">
      <c r="E198" s="1"/>
      <c r="F198" s="1"/>
      <c r="G198" s="55"/>
    </row>
    <row r="199" spans="5:7" x14ac:dyDescent="0.25">
      <c r="E199" s="1"/>
      <c r="F199" s="1"/>
      <c r="G199" s="55"/>
    </row>
    <row r="200" spans="5:7" x14ac:dyDescent="0.25">
      <c r="E200" s="1"/>
      <c r="F200" s="1"/>
      <c r="G200" s="55"/>
    </row>
    <row r="201" spans="5:7" x14ac:dyDescent="0.25">
      <c r="E201" s="1"/>
      <c r="F201" s="1"/>
      <c r="G201" s="55"/>
    </row>
    <row r="202" spans="5:7" x14ac:dyDescent="0.25">
      <c r="E202" s="1"/>
      <c r="F202" s="1"/>
      <c r="G202" s="55"/>
    </row>
    <row r="203" spans="5:7" x14ac:dyDescent="0.25">
      <c r="E203" s="1"/>
      <c r="F203" s="1"/>
      <c r="G203" s="55"/>
    </row>
    <row r="204" spans="5:7" x14ac:dyDescent="0.25">
      <c r="E204" s="1"/>
      <c r="F204" s="1"/>
      <c r="G204" s="55"/>
    </row>
    <row r="205" spans="5:7" x14ac:dyDescent="0.25">
      <c r="E205" s="1"/>
      <c r="F205" s="1"/>
      <c r="G205" s="55"/>
    </row>
    <row r="206" spans="5:7" x14ac:dyDescent="0.25">
      <c r="E206" s="1"/>
      <c r="F206" s="1"/>
      <c r="G206" s="55"/>
    </row>
    <row r="207" spans="5:7" x14ac:dyDescent="0.25">
      <c r="E207" s="1"/>
      <c r="F207" s="1"/>
      <c r="G207" s="55"/>
    </row>
    <row r="208" spans="5:7" x14ac:dyDescent="0.25">
      <c r="E208" s="1"/>
      <c r="F208" s="1"/>
      <c r="G208" s="55"/>
    </row>
    <row r="209" spans="5:7" x14ac:dyDescent="0.25">
      <c r="E209" s="1"/>
      <c r="F209" s="1"/>
      <c r="G209" s="55"/>
    </row>
    <row r="210" spans="5:7" x14ac:dyDescent="0.25">
      <c r="E210" s="1"/>
      <c r="F210" s="1"/>
      <c r="G210" s="55"/>
    </row>
    <row r="211" spans="5:7" x14ac:dyDescent="0.25">
      <c r="E211" s="1"/>
      <c r="F211" s="1"/>
      <c r="G211" s="55"/>
    </row>
    <row r="212" spans="5:7" x14ac:dyDescent="0.25">
      <c r="E212" s="1"/>
      <c r="F212" s="1"/>
      <c r="G212" s="55"/>
    </row>
    <row r="213" spans="5:7" x14ac:dyDescent="0.25">
      <c r="E213" s="1"/>
      <c r="F213" s="1"/>
      <c r="G213" s="55"/>
    </row>
    <row r="214" spans="5:7" x14ac:dyDescent="0.25">
      <c r="E214" s="1"/>
      <c r="F214" s="1"/>
      <c r="G214" s="55"/>
    </row>
    <row r="215" spans="5:7" x14ac:dyDescent="0.25">
      <c r="E215" s="1"/>
      <c r="F215" s="1"/>
      <c r="G215" s="55"/>
    </row>
    <row r="216" spans="5:7" x14ac:dyDescent="0.25">
      <c r="E216" s="1"/>
      <c r="F216" s="1"/>
      <c r="G216" s="55"/>
    </row>
    <row r="217" spans="5:7" x14ac:dyDescent="0.25">
      <c r="E217" s="1"/>
      <c r="F217" s="1"/>
      <c r="G217" s="55"/>
    </row>
    <row r="218" spans="5:7" x14ac:dyDescent="0.25">
      <c r="E218" s="1"/>
      <c r="F218" s="1"/>
      <c r="G218" s="55"/>
    </row>
    <row r="219" spans="5:7" x14ac:dyDescent="0.25">
      <c r="E219" s="1"/>
      <c r="F219" s="1"/>
      <c r="G219" s="55"/>
    </row>
    <row r="220" spans="5:7" x14ac:dyDescent="0.25">
      <c r="E220" s="1"/>
      <c r="F220" s="1"/>
      <c r="G220" s="55"/>
    </row>
    <row r="221" spans="5:7" x14ac:dyDescent="0.25">
      <c r="E221" s="1"/>
      <c r="F221" s="1"/>
      <c r="G221" s="55"/>
    </row>
    <row r="222" spans="5:7" x14ac:dyDescent="0.25">
      <c r="E222" s="1"/>
      <c r="F222" s="1"/>
      <c r="G222" s="55"/>
    </row>
    <row r="223" spans="5:7" x14ac:dyDescent="0.25">
      <c r="E223" s="1"/>
      <c r="F223" s="1"/>
      <c r="G223" s="55"/>
    </row>
    <row r="224" spans="5:7" x14ac:dyDescent="0.25">
      <c r="E224" s="1"/>
      <c r="F224" s="1"/>
      <c r="G224" s="55"/>
    </row>
    <row r="225" spans="5:7" x14ac:dyDescent="0.25">
      <c r="E225" s="1"/>
      <c r="F225" s="1"/>
      <c r="G225" s="55"/>
    </row>
    <row r="226" spans="5:7" x14ac:dyDescent="0.25">
      <c r="E226" s="1"/>
      <c r="F226" s="1"/>
      <c r="G226" s="55"/>
    </row>
    <row r="227" spans="5:7" x14ac:dyDescent="0.25">
      <c r="E227" s="1"/>
      <c r="F227" s="1"/>
      <c r="G227" s="55"/>
    </row>
    <row r="228" spans="5:7" x14ac:dyDescent="0.25">
      <c r="E228" s="1"/>
      <c r="F228" s="1"/>
      <c r="G228" s="55"/>
    </row>
    <row r="229" spans="5:7" x14ac:dyDescent="0.25">
      <c r="E229" s="1"/>
      <c r="F229" s="1"/>
      <c r="G229" s="55"/>
    </row>
    <row r="230" spans="5:7" x14ac:dyDescent="0.25">
      <c r="E230" s="1"/>
      <c r="F230" s="1"/>
      <c r="G230" s="55"/>
    </row>
    <row r="231" spans="5:7" x14ac:dyDescent="0.25">
      <c r="E231" s="1"/>
      <c r="F231" s="1"/>
      <c r="G231" s="55"/>
    </row>
    <row r="232" spans="5:7" x14ac:dyDescent="0.25">
      <c r="E232" s="1"/>
      <c r="F232" s="1"/>
      <c r="G232" s="55"/>
    </row>
    <row r="233" spans="5:7" x14ac:dyDescent="0.25">
      <c r="E233" s="1"/>
      <c r="F233" s="1"/>
      <c r="G233" s="55"/>
    </row>
    <row r="234" spans="5:7" x14ac:dyDescent="0.25">
      <c r="E234" s="1"/>
      <c r="F234" s="1"/>
      <c r="G234" s="55"/>
    </row>
    <row r="235" spans="5:7" x14ac:dyDescent="0.25">
      <c r="E235" s="1"/>
      <c r="F235" s="1"/>
      <c r="G235" s="55"/>
    </row>
    <row r="236" spans="5:7" x14ac:dyDescent="0.25">
      <c r="E236" s="1"/>
      <c r="F236" s="1"/>
      <c r="G236" s="55"/>
    </row>
    <row r="237" spans="5:7" x14ac:dyDescent="0.25">
      <c r="E237" s="1"/>
      <c r="F237" s="1"/>
      <c r="G237" s="55"/>
    </row>
    <row r="238" spans="5:7" x14ac:dyDescent="0.25">
      <c r="E238" s="1"/>
      <c r="F238" s="1"/>
      <c r="G238" s="55"/>
    </row>
    <row r="239" spans="5:7" x14ac:dyDescent="0.25">
      <c r="E239" s="1"/>
      <c r="F239" s="1"/>
      <c r="G239" s="55"/>
    </row>
    <row r="240" spans="5:7" x14ac:dyDescent="0.25">
      <c r="E240" s="1"/>
      <c r="F240" s="1"/>
      <c r="G240" s="55"/>
    </row>
    <row r="241" spans="5:7" x14ac:dyDescent="0.25">
      <c r="E241" s="1"/>
      <c r="F241" s="1"/>
      <c r="G241" s="55"/>
    </row>
    <row r="242" spans="5:7" x14ac:dyDescent="0.25">
      <c r="E242" s="1"/>
      <c r="F242" s="1"/>
      <c r="G242" s="55"/>
    </row>
    <row r="243" spans="5:7" x14ac:dyDescent="0.25">
      <c r="E243" s="1"/>
      <c r="F243" s="1"/>
      <c r="G243" s="55"/>
    </row>
    <row r="244" spans="5:7" x14ac:dyDescent="0.25">
      <c r="E244" s="1"/>
      <c r="F244" s="1"/>
      <c r="G244" s="55"/>
    </row>
    <row r="245" spans="5:7" x14ac:dyDescent="0.25">
      <c r="E245" s="1"/>
      <c r="F245" s="1"/>
      <c r="G245" s="55"/>
    </row>
    <row r="246" spans="5:7" x14ac:dyDescent="0.25">
      <c r="E246" s="1"/>
      <c r="F246" s="1"/>
      <c r="G246" s="55"/>
    </row>
    <row r="247" spans="5:7" x14ac:dyDescent="0.25">
      <c r="E247" s="1"/>
      <c r="F247" s="1"/>
      <c r="G247" s="55"/>
    </row>
    <row r="248" spans="5:7" x14ac:dyDescent="0.25">
      <c r="E248" s="1"/>
      <c r="F248" s="1"/>
      <c r="G248" s="55"/>
    </row>
    <row r="249" spans="5:7" x14ac:dyDescent="0.25">
      <c r="E249" s="1"/>
      <c r="F249" s="1"/>
      <c r="G249" s="55"/>
    </row>
    <row r="250" spans="5:7" x14ac:dyDescent="0.25">
      <c r="E250" s="1"/>
      <c r="F250" s="1"/>
      <c r="G250" s="55"/>
    </row>
    <row r="251" spans="5:7" x14ac:dyDescent="0.25">
      <c r="E251" s="1"/>
      <c r="F251" s="1"/>
      <c r="G251" s="55"/>
    </row>
    <row r="252" spans="5:7" x14ac:dyDescent="0.25">
      <c r="E252" s="1"/>
      <c r="F252" s="1"/>
      <c r="G252" s="55"/>
    </row>
    <row r="253" spans="5:7" x14ac:dyDescent="0.25">
      <c r="E253" s="1"/>
      <c r="F253" s="1"/>
      <c r="G253" s="55"/>
    </row>
    <row r="254" spans="5:7" x14ac:dyDescent="0.25">
      <c r="E254" s="1"/>
      <c r="F254" s="1"/>
      <c r="G254" s="55"/>
    </row>
    <row r="255" spans="5:7" x14ac:dyDescent="0.25">
      <c r="E255" s="1"/>
      <c r="F255" s="1"/>
      <c r="G255" s="55"/>
    </row>
    <row r="256" spans="5:7" x14ac:dyDescent="0.25">
      <c r="E256" s="1"/>
      <c r="F256" s="1"/>
      <c r="G256" s="55"/>
    </row>
    <row r="257" spans="5:7" x14ac:dyDescent="0.25">
      <c r="E257" s="1"/>
      <c r="F257" s="1"/>
      <c r="G257" s="55"/>
    </row>
    <row r="258" spans="5:7" x14ac:dyDescent="0.25">
      <c r="E258" s="1"/>
      <c r="F258" s="1"/>
      <c r="G258" s="55"/>
    </row>
    <row r="259" spans="5:7" x14ac:dyDescent="0.25">
      <c r="E259" s="1"/>
      <c r="F259" s="1"/>
      <c r="G259" s="55"/>
    </row>
    <row r="260" spans="5:7" x14ac:dyDescent="0.25">
      <c r="E260" s="1"/>
      <c r="F260" s="1"/>
      <c r="G260" s="55"/>
    </row>
    <row r="261" spans="5:7" x14ac:dyDescent="0.25">
      <c r="E261" s="1"/>
      <c r="F261" s="1"/>
      <c r="G261" s="55"/>
    </row>
    <row r="262" spans="5:7" x14ac:dyDescent="0.25">
      <c r="E262" s="1"/>
      <c r="F262" s="1"/>
      <c r="G262" s="55"/>
    </row>
    <row r="263" spans="5:7" x14ac:dyDescent="0.25">
      <c r="E263" s="1"/>
      <c r="F263" s="1"/>
      <c r="G263" s="55"/>
    </row>
    <row r="264" spans="5:7" x14ac:dyDescent="0.25">
      <c r="E264" s="1"/>
      <c r="F264" s="1"/>
      <c r="G264" s="55"/>
    </row>
    <row r="265" spans="5:7" x14ac:dyDescent="0.25">
      <c r="E265" s="1"/>
      <c r="F265" s="1"/>
      <c r="G265" s="55"/>
    </row>
    <row r="266" spans="5:7" x14ac:dyDescent="0.25">
      <c r="E266" s="1"/>
      <c r="F266" s="1"/>
      <c r="G266" s="55"/>
    </row>
    <row r="267" spans="5:7" x14ac:dyDescent="0.25">
      <c r="E267" s="1"/>
      <c r="F267" s="1"/>
      <c r="G267" s="55"/>
    </row>
    <row r="268" spans="5:7" x14ac:dyDescent="0.25">
      <c r="E268" s="1"/>
      <c r="F268" s="1"/>
      <c r="G268" s="55"/>
    </row>
    <row r="269" spans="5:7" x14ac:dyDescent="0.25">
      <c r="E269" s="1"/>
      <c r="F269" s="1"/>
      <c r="G269" s="55"/>
    </row>
    <row r="270" spans="5:7" x14ac:dyDescent="0.25">
      <c r="E270" s="1"/>
      <c r="F270" s="1"/>
      <c r="G270" s="55"/>
    </row>
    <row r="271" spans="5:7" x14ac:dyDescent="0.25">
      <c r="E271" s="1"/>
      <c r="F271" s="1"/>
      <c r="G271" s="55"/>
    </row>
    <row r="272" spans="5:7" x14ac:dyDescent="0.25">
      <c r="E272" s="1"/>
      <c r="F272" s="1"/>
      <c r="G272" s="55"/>
    </row>
    <row r="273" spans="5:7" x14ac:dyDescent="0.25">
      <c r="E273" s="1"/>
      <c r="F273" s="1"/>
      <c r="G273" s="55"/>
    </row>
    <row r="274" spans="5:7" x14ac:dyDescent="0.25">
      <c r="E274" s="1"/>
      <c r="F274" s="1"/>
      <c r="G274" s="55"/>
    </row>
    <row r="275" spans="5:7" x14ac:dyDescent="0.25">
      <c r="E275" s="1"/>
      <c r="F275" s="1"/>
      <c r="G275" s="55"/>
    </row>
    <row r="276" spans="5:7" x14ac:dyDescent="0.25">
      <c r="E276" s="1"/>
      <c r="F276" s="1"/>
      <c r="G276" s="55"/>
    </row>
    <row r="277" spans="5:7" x14ac:dyDescent="0.25">
      <c r="E277" s="1"/>
      <c r="F277" s="1"/>
      <c r="G277" s="55"/>
    </row>
    <row r="278" spans="5:7" x14ac:dyDescent="0.25">
      <c r="E278" s="1"/>
      <c r="F278" s="1"/>
      <c r="G278" s="55"/>
    </row>
    <row r="279" spans="5:7" x14ac:dyDescent="0.25">
      <c r="E279" s="1"/>
      <c r="F279" s="1"/>
      <c r="G279" s="55"/>
    </row>
    <row r="280" spans="5:7" x14ac:dyDescent="0.25">
      <c r="E280" s="1"/>
      <c r="F280" s="1"/>
      <c r="G280" s="55"/>
    </row>
    <row r="281" spans="5:7" x14ac:dyDescent="0.25">
      <c r="E281" s="1"/>
      <c r="F281" s="1"/>
      <c r="G281" s="55"/>
    </row>
    <row r="282" spans="5:7" x14ac:dyDescent="0.25">
      <c r="E282" s="1"/>
      <c r="F282" s="1"/>
      <c r="G282" s="55"/>
    </row>
    <row r="283" spans="5:7" x14ac:dyDescent="0.25">
      <c r="E283" s="1"/>
      <c r="F283" s="1"/>
      <c r="G283" s="55"/>
    </row>
    <row r="284" spans="5:7" x14ac:dyDescent="0.25">
      <c r="E284" s="1"/>
      <c r="F284" s="1"/>
      <c r="G284" s="55"/>
    </row>
    <row r="285" spans="5:7" x14ac:dyDescent="0.25">
      <c r="E285" s="1"/>
      <c r="F285" s="1"/>
      <c r="G285" s="55"/>
    </row>
    <row r="286" spans="5:7" x14ac:dyDescent="0.25">
      <c r="E286" s="1"/>
      <c r="F286" s="1"/>
      <c r="G286" s="55"/>
    </row>
    <row r="287" spans="5:7" x14ac:dyDescent="0.25">
      <c r="E287" s="1"/>
      <c r="F287" s="1"/>
      <c r="G287" s="55"/>
    </row>
    <row r="288" spans="5:7" x14ac:dyDescent="0.25">
      <c r="E288" s="1"/>
      <c r="F288" s="1"/>
      <c r="G288" s="55"/>
    </row>
    <row r="289" spans="5:7" x14ac:dyDescent="0.25">
      <c r="E289" s="1"/>
      <c r="F289" s="1"/>
      <c r="G289" s="55"/>
    </row>
    <row r="290" spans="5:7" x14ac:dyDescent="0.25">
      <c r="E290" s="1"/>
      <c r="F290" s="1"/>
      <c r="G290" s="55"/>
    </row>
    <row r="291" spans="5:7" x14ac:dyDescent="0.25">
      <c r="E291" s="1"/>
      <c r="F291" s="1"/>
      <c r="G291" s="55"/>
    </row>
    <row r="292" spans="5:7" x14ac:dyDescent="0.25">
      <c r="E292" s="1"/>
      <c r="F292" s="1"/>
      <c r="G292" s="55"/>
    </row>
    <row r="293" spans="5:7" x14ac:dyDescent="0.25">
      <c r="E293" s="1"/>
      <c r="F293" s="1"/>
      <c r="G293" s="55"/>
    </row>
    <row r="294" spans="5:7" x14ac:dyDescent="0.25">
      <c r="E294" s="1"/>
      <c r="F294" s="1"/>
      <c r="G294" s="55"/>
    </row>
    <row r="295" spans="5:7" x14ac:dyDescent="0.25">
      <c r="E295" s="1"/>
      <c r="F295" s="1"/>
      <c r="G295" s="55"/>
    </row>
    <row r="296" spans="5:7" x14ac:dyDescent="0.25">
      <c r="E296" s="1"/>
      <c r="F296" s="1"/>
      <c r="G296" s="55"/>
    </row>
    <row r="297" spans="5:7" x14ac:dyDescent="0.25">
      <c r="E297" s="1"/>
      <c r="F297" s="1"/>
      <c r="G297" s="55"/>
    </row>
    <row r="298" spans="5:7" x14ac:dyDescent="0.25">
      <c r="E298" s="1"/>
      <c r="F298" s="1"/>
      <c r="G298" s="55"/>
    </row>
    <row r="299" spans="5:7" x14ac:dyDescent="0.25">
      <c r="E299" s="1"/>
      <c r="F299" s="1"/>
      <c r="G299" s="55"/>
    </row>
    <row r="300" spans="5:7" x14ac:dyDescent="0.25">
      <c r="E300" s="1"/>
      <c r="F300" s="1"/>
      <c r="G300" s="55"/>
    </row>
    <row r="301" spans="5:7" x14ac:dyDescent="0.25">
      <c r="E301" s="1"/>
      <c r="F301" s="1"/>
      <c r="G301" s="55"/>
    </row>
    <row r="302" spans="5:7" x14ac:dyDescent="0.25">
      <c r="E302" s="1"/>
      <c r="F302" s="1"/>
      <c r="G302" s="55"/>
    </row>
    <row r="303" spans="5:7" x14ac:dyDescent="0.25">
      <c r="E303" s="1"/>
      <c r="F303" s="1"/>
      <c r="G303" s="55"/>
    </row>
    <row r="304" spans="5:7" x14ac:dyDescent="0.25">
      <c r="E304" s="1"/>
      <c r="F304" s="1"/>
      <c r="G304" s="55"/>
    </row>
    <row r="305" spans="5:7" x14ac:dyDescent="0.25">
      <c r="E305" s="1"/>
      <c r="F305" s="1"/>
      <c r="G305" s="55"/>
    </row>
    <row r="306" spans="5:7" x14ac:dyDescent="0.25">
      <c r="E306" s="1"/>
      <c r="F306" s="1"/>
      <c r="G306" s="55"/>
    </row>
    <row r="307" spans="5:7" x14ac:dyDescent="0.25">
      <c r="E307" s="1"/>
      <c r="F307" s="1"/>
      <c r="G307" s="55"/>
    </row>
    <row r="308" spans="5:7" x14ac:dyDescent="0.25">
      <c r="E308" s="1"/>
      <c r="F308" s="1"/>
      <c r="G308" s="55"/>
    </row>
    <row r="309" spans="5:7" x14ac:dyDescent="0.25">
      <c r="E309" s="1"/>
      <c r="F309" s="1"/>
      <c r="G309" s="55"/>
    </row>
    <row r="310" spans="5:7" x14ac:dyDescent="0.25">
      <c r="E310" s="1"/>
      <c r="F310" s="1"/>
      <c r="G310" s="55"/>
    </row>
    <row r="311" spans="5:7" x14ac:dyDescent="0.25">
      <c r="E311" s="1"/>
      <c r="F311" s="1"/>
      <c r="G311" s="55"/>
    </row>
    <row r="312" spans="5:7" x14ac:dyDescent="0.25">
      <c r="E312" s="1"/>
      <c r="F312" s="1"/>
      <c r="G312" s="55"/>
    </row>
    <row r="313" spans="5:7" x14ac:dyDescent="0.25">
      <c r="E313" s="1"/>
      <c r="F313" s="1"/>
      <c r="G313" s="55"/>
    </row>
    <row r="314" spans="5:7" x14ac:dyDescent="0.25">
      <c r="E314" s="1"/>
      <c r="F314" s="1"/>
      <c r="G314" s="55"/>
    </row>
    <row r="315" spans="5:7" x14ac:dyDescent="0.25">
      <c r="E315" s="1"/>
      <c r="F315" s="1"/>
      <c r="G315" s="55"/>
    </row>
    <row r="316" spans="5:7" x14ac:dyDescent="0.25">
      <c r="E316" s="1"/>
      <c r="F316" s="1"/>
      <c r="G316" s="55"/>
    </row>
    <row r="317" spans="5:7" x14ac:dyDescent="0.25">
      <c r="E317" s="1"/>
      <c r="F317" s="1"/>
      <c r="G317" s="55"/>
    </row>
    <row r="318" spans="5:7" x14ac:dyDescent="0.25">
      <c r="E318" s="1"/>
      <c r="F318" s="1"/>
      <c r="G318" s="55"/>
    </row>
    <row r="319" spans="5:7" x14ac:dyDescent="0.25">
      <c r="E319" s="1"/>
      <c r="F319" s="1"/>
      <c r="G319" s="55"/>
    </row>
    <row r="320" spans="5:7" x14ac:dyDescent="0.25">
      <c r="E320" s="1"/>
      <c r="F320" s="1"/>
      <c r="G320" s="55"/>
    </row>
    <row r="321" spans="5:7" x14ac:dyDescent="0.25">
      <c r="E321" s="1"/>
      <c r="F321" s="1"/>
      <c r="G321" s="55"/>
    </row>
    <row r="322" spans="5:7" x14ac:dyDescent="0.25">
      <c r="E322" s="1"/>
      <c r="F322" s="1"/>
      <c r="G322" s="55"/>
    </row>
    <row r="323" spans="5:7" x14ac:dyDescent="0.25">
      <c r="E323" s="1"/>
      <c r="F323" s="1"/>
      <c r="G323" s="55"/>
    </row>
    <row r="324" spans="5:7" x14ac:dyDescent="0.25">
      <c r="E324" s="1"/>
      <c r="F324" s="1"/>
      <c r="G324" s="55"/>
    </row>
    <row r="325" spans="5:7" x14ac:dyDescent="0.25">
      <c r="E325" s="1"/>
      <c r="F325" s="1"/>
      <c r="G325" s="55"/>
    </row>
    <row r="326" spans="5:7" x14ac:dyDescent="0.25">
      <c r="E326" s="1"/>
      <c r="F326" s="1"/>
      <c r="G326" s="55"/>
    </row>
    <row r="327" spans="5:7" x14ac:dyDescent="0.25">
      <c r="E327" s="1"/>
      <c r="F327" s="1"/>
      <c r="G327" s="55"/>
    </row>
    <row r="328" spans="5:7" x14ac:dyDescent="0.25">
      <c r="E328" s="1"/>
      <c r="F328" s="1"/>
      <c r="G328" s="55"/>
    </row>
    <row r="329" spans="5:7" x14ac:dyDescent="0.25">
      <c r="E329" s="1"/>
      <c r="F329" s="1"/>
      <c r="G329" s="55"/>
    </row>
    <row r="330" spans="5:7" x14ac:dyDescent="0.25">
      <c r="E330" s="1"/>
      <c r="F330" s="1"/>
      <c r="G330" s="55"/>
    </row>
    <row r="331" spans="5:7" x14ac:dyDescent="0.25">
      <c r="E331" s="1"/>
      <c r="F331" s="1"/>
      <c r="G331" s="55"/>
    </row>
    <row r="332" spans="5:7" x14ac:dyDescent="0.25">
      <c r="E332" s="1"/>
      <c r="F332" s="1"/>
      <c r="G332" s="55"/>
    </row>
    <row r="333" spans="5:7" x14ac:dyDescent="0.25">
      <c r="E333" s="1"/>
      <c r="F333" s="1"/>
      <c r="G333" s="55"/>
    </row>
    <row r="334" spans="5:7" x14ac:dyDescent="0.25">
      <c r="E334" s="1"/>
      <c r="F334" s="1"/>
      <c r="G334" s="55"/>
    </row>
    <row r="335" spans="5:7" x14ac:dyDescent="0.25">
      <c r="E335" s="1"/>
      <c r="F335" s="1"/>
      <c r="G335" s="55"/>
    </row>
    <row r="336" spans="5:7" x14ac:dyDescent="0.25">
      <c r="E336" s="1"/>
      <c r="F336" s="1"/>
      <c r="G336" s="55"/>
    </row>
    <row r="337" spans="5:7" x14ac:dyDescent="0.25">
      <c r="E337" s="1"/>
      <c r="F337" s="1"/>
      <c r="G337" s="55"/>
    </row>
    <row r="338" spans="5:7" x14ac:dyDescent="0.25">
      <c r="E338" s="1"/>
      <c r="F338" s="1"/>
      <c r="G338" s="55"/>
    </row>
    <row r="339" spans="5:7" x14ac:dyDescent="0.25">
      <c r="E339" s="1"/>
      <c r="F339" s="1"/>
      <c r="G339" s="55"/>
    </row>
    <row r="340" spans="5:7" x14ac:dyDescent="0.25">
      <c r="E340" s="1"/>
      <c r="F340" s="1"/>
      <c r="G340" s="55"/>
    </row>
    <row r="341" spans="5:7" x14ac:dyDescent="0.25">
      <c r="E341" s="1"/>
      <c r="F341" s="1"/>
      <c r="G341" s="55"/>
    </row>
    <row r="342" spans="5:7" x14ac:dyDescent="0.25">
      <c r="E342" s="1"/>
      <c r="F342" s="1"/>
      <c r="G342" s="55"/>
    </row>
    <row r="343" spans="5:7" x14ac:dyDescent="0.25">
      <c r="E343" s="1"/>
      <c r="F343" s="1"/>
      <c r="G343" s="55"/>
    </row>
    <row r="344" spans="5:7" x14ac:dyDescent="0.25">
      <c r="E344" s="1"/>
      <c r="F344" s="1"/>
      <c r="G344" s="55"/>
    </row>
    <row r="345" spans="5:7" x14ac:dyDescent="0.25">
      <c r="E345" s="1"/>
      <c r="F345" s="1"/>
      <c r="G345" s="55"/>
    </row>
    <row r="346" spans="5:7" x14ac:dyDescent="0.25">
      <c r="E346" s="1"/>
      <c r="F346" s="1"/>
      <c r="G346" s="55"/>
    </row>
    <row r="347" spans="5:7" x14ac:dyDescent="0.25">
      <c r="E347" s="1"/>
      <c r="F347" s="1"/>
      <c r="G347" s="55"/>
    </row>
    <row r="348" spans="5:7" x14ac:dyDescent="0.25">
      <c r="E348" s="1"/>
      <c r="F348" s="1"/>
      <c r="G348" s="55"/>
    </row>
    <row r="349" spans="5:7" x14ac:dyDescent="0.25">
      <c r="E349" s="1"/>
      <c r="F349" s="1"/>
      <c r="G349" s="55"/>
    </row>
    <row r="350" spans="5:7" x14ac:dyDescent="0.25">
      <c r="E350" s="1"/>
      <c r="F350" s="1"/>
      <c r="G350" s="55"/>
    </row>
    <row r="351" spans="5:7" x14ac:dyDescent="0.25">
      <c r="E351" s="1"/>
      <c r="F351" s="1"/>
      <c r="G351" s="55"/>
    </row>
    <row r="352" spans="5:7" x14ac:dyDescent="0.25">
      <c r="E352" s="1"/>
      <c r="F352" s="1"/>
      <c r="G352" s="55"/>
    </row>
    <row r="353" spans="5:7" x14ac:dyDescent="0.25">
      <c r="E353" s="1"/>
      <c r="F353" s="1"/>
      <c r="G353" s="55"/>
    </row>
    <row r="354" spans="5:7" x14ac:dyDescent="0.25">
      <c r="E354" s="1"/>
      <c r="F354" s="1"/>
      <c r="G354" s="55"/>
    </row>
    <row r="355" spans="5:7" x14ac:dyDescent="0.25">
      <c r="E355" s="1"/>
      <c r="F355" s="1"/>
      <c r="G355" s="55"/>
    </row>
    <row r="356" spans="5:7" x14ac:dyDescent="0.25">
      <c r="E356" s="1"/>
      <c r="F356" s="1"/>
      <c r="G356" s="55"/>
    </row>
    <row r="357" spans="5:7" x14ac:dyDescent="0.25">
      <c r="E357" s="1"/>
      <c r="F357" s="1"/>
      <c r="G357" s="55"/>
    </row>
    <row r="358" spans="5:7" x14ac:dyDescent="0.25">
      <c r="E358" s="1"/>
      <c r="F358" s="1"/>
      <c r="G358" s="55"/>
    </row>
    <row r="359" spans="5:7" x14ac:dyDescent="0.25">
      <c r="E359" s="1"/>
      <c r="F359" s="1"/>
      <c r="G359" s="55"/>
    </row>
    <row r="360" spans="5:7" x14ac:dyDescent="0.25">
      <c r="E360" s="1"/>
      <c r="F360" s="1"/>
      <c r="G360" s="55"/>
    </row>
    <row r="361" spans="5:7" x14ac:dyDescent="0.25">
      <c r="E361" s="1"/>
      <c r="F361" s="1"/>
      <c r="G361" s="55"/>
    </row>
    <row r="362" spans="5:7" x14ac:dyDescent="0.25">
      <c r="E362" s="1"/>
      <c r="F362" s="1"/>
      <c r="G362" s="55"/>
    </row>
    <row r="363" spans="5:7" x14ac:dyDescent="0.25">
      <c r="E363" s="1"/>
      <c r="F363" s="1"/>
      <c r="G363" s="55"/>
    </row>
    <row r="364" spans="5:7" x14ac:dyDescent="0.25">
      <c r="E364" s="1"/>
      <c r="F364" s="1"/>
      <c r="G364" s="55"/>
    </row>
    <row r="365" spans="5:7" x14ac:dyDescent="0.25">
      <c r="E365" s="1"/>
      <c r="F365" s="1"/>
      <c r="G365" s="55"/>
    </row>
    <row r="366" spans="5:7" x14ac:dyDescent="0.25">
      <c r="E366" s="1"/>
      <c r="F366" s="1"/>
      <c r="G366" s="55"/>
    </row>
    <row r="367" spans="5:7" x14ac:dyDescent="0.25">
      <c r="G367" s="55"/>
    </row>
    <row r="368" spans="5:7" x14ac:dyDescent="0.25">
      <c r="G368" s="55"/>
    </row>
    <row r="369" spans="7:7" x14ac:dyDescent="0.25">
      <c r="G369" s="55"/>
    </row>
    <row r="370" spans="7:7" x14ac:dyDescent="0.25">
      <c r="G370" s="55"/>
    </row>
  </sheetData>
  <sheetProtection formatColumns="0" formatRows="0" sort="0" autoFilter="0" pivotTables="0"/>
  <autoFilter ref="C21:J23" xr:uid="{39FBE6B3-CD86-47DE-BBB8-5118032AB074}"/>
  <conditionalFormatting sqref="C22:G9994">
    <cfRule type="expression" dxfId="20" priority="2">
      <formula>C22&lt;&gt;""</formula>
    </cfRule>
    <cfRule type="expression" dxfId="19" priority="3">
      <formula>AND(activeRow_Constructions=ROW(A22),$C22&lt;&gt;"")</formula>
    </cfRule>
  </conditionalFormatting>
  <conditionalFormatting sqref="H22:J9994">
    <cfRule type="expression" dxfId="18" priority="7">
      <formula>H22&lt;&gt;""</formula>
    </cfRule>
    <cfRule type="expression" dxfId="17" priority="8">
      <formula>AND(activeRow_Constructions=ROW(E22),$C22&lt;&gt;"")</formula>
    </cfRule>
  </conditionalFormatting>
  <conditionalFormatting sqref="M22:O286">
    <cfRule type="expression" dxfId="16" priority="1">
      <formula>$M22&lt;&gt;""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autoFill="0" autoPict="0" macro="[0]!Open_construction_Add">
                <anchor moveWithCells="1">
                  <from>
                    <xdr:col>3</xdr:col>
                    <xdr:colOff>66675</xdr:colOff>
                    <xdr:row>17</xdr:row>
                    <xdr:rowOff>85725</xdr:rowOff>
                  </from>
                  <to>
                    <xdr:col>3</xdr:col>
                    <xdr:colOff>1057275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Open_construction_Edit">
                <anchor moveWithCells="1">
                  <from>
                    <xdr:col>4</xdr:col>
                    <xdr:colOff>76200</xdr:colOff>
                    <xdr:row>17</xdr:row>
                    <xdr:rowOff>76200</xdr:rowOff>
                  </from>
                  <to>
                    <xdr:col>4</xdr:col>
                    <xdr:colOff>1047750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autoFill="0" autoPict="0" macro="[0]!delete_Construction">
                <anchor moveWithCells="1">
                  <from>
                    <xdr:col>4</xdr:col>
                    <xdr:colOff>1276350</xdr:colOff>
                    <xdr:row>17</xdr:row>
                    <xdr:rowOff>57150</xdr:rowOff>
                  </from>
                  <to>
                    <xdr:col>4</xdr:col>
                    <xdr:colOff>2162175</xdr:colOff>
                    <xdr:row>19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D24B-2956-4842-9E7E-918CC12560FF}">
  <sheetPr codeName="Arkusz5">
    <tabColor rgb="FF0070C0"/>
    <pageSetUpPr fitToPage="1"/>
  </sheetPr>
  <dimension ref="A1:AV314"/>
  <sheetViews>
    <sheetView showGridLines="0" zoomScale="120" zoomScaleNormal="120" workbookViewId="0">
      <selection activeCell="F32" sqref="F32"/>
    </sheetView>
  </sheetViews>
  <sheetFormatPr defaultColWidth="0" defaultRowHeight="15" x14ac:dyDescent="0.25"/>
  <cols>
    <col min="1" max="2" width="9.140625" customWidth="1"/>
    <col min="3" max="3" width="8.5703125" customWidth="1"/>
    <col min="4" max="4" width="11.28515625" customWidth="1"/>
    <col min="5" max="7" width="11.85546875" customWidth="1"/>
    <col min="8" max="8" width="11.140625" customWidth="1"/>
    <col min="9" max="10" width="11.85546875" customWidth="1"/>
    <col min="11" max="11" width="3.5703125" customWidth="1"/>
    <col min="12" max="12" width="2.140625" customWidth="1"/>
    <col min="13" max="13" width="4.7109375" customWidth="1"/>
    <col min="14" max="14" width="10.42578125" customWidth="1"/>
    <col min="15" max="15" width="7.140625" customWidth="1"/>
    <col min="16" max="16" width="11.5703125" customWidth="1"/>
    <col min="17" max="48" width="9.140625" customWidth="1"/>
    <col min="49" max="16384" width="9.140625" hidden="1"/>
  </cols>
  <sheetData>
    <row r="1" spans="1:48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</row>
    <row r="2" spans="1:48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</row>
    <row r="3" spans="1:48" ht="26.25" x14ac:dyDescent="0.4">
      <c r="A3" s="14"/>
      <c r="B3" s="14"/>
      <c r="C3" s="38" t="s">
        <v>71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</row>
    <row r="4" spans="1:48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</row>
    <row r="5" spans="1:48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</row>
    <row r="6" spans="1:48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</row>
    <row r="8" spans="1:48" x14ac:dyDescent="0.25">
      <c r="C8" s="2"/>
    </row>
    <row r="9" spans="1:48" ht="15.75" thickBot="1" x14ac:dyDescent="0.3">
      <c r="C9" s="2"/>
    </row>
    <row r="10" spans="1:48" x14ac:dyDescent="0.25">
      <c r="B10" s="57"/>
      <c r="C10" s="58"/>
      <c r="D10" s="59"/>
      <c r="E10" s="59"/>
      <c r="F10" s="59"/>
      <c r="G10" s="59"/>
      <c r="H10" s="59"/>
      <c r="I10" s="59"/>
      <c r="J10" s="59"/>
      <c r="K10" s="59"/>
      <c r="L10" s="59"/>
      <c r="M10" s="60"/>
    </row>
    <row r="11" spans="1:48" ht="18.75" x14ac:dyDescent="0.25">
      <c r="B11" s="61"/>
      <c r="C11" s="71" t="s">
        <v>72</v>
      </c>
      <c r="D11" s="14"/>
      <c r="E11" s="14"/>
      <c r="F11" s="14"/>
      <c r="G11" s="14"/>
      <c r="H11" s="14"/>
      <c r="I11" s="14"/>
      <c r="J11" s="14"/>
      <c r="K11" s="14"/>
      <c r="L11" s="14"/>
      <c r="M11" s="62"/>
    </row>
    <row r="12" spans="1:48" x14ac:dyDescent="0.25">
      <c r="B12" s="61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1:48" ht="18.75" x14ac:dyDescent="0.3">
      <c r="B13" s="61"/>
      <c r="C13" s="14"/>
      <c r="D13" s="63" t="s">
        <v>16</v>
      </c>
      <c r="E13" s="72">
        <v>2023</v>
      </c>
      <c r="F13" s="14"/>
      <c r="G13" s="14"/>
      <c r="H13" s="14"/>
      <c r="I13" s="14"/>
      <c r="J13" s="14"/>
      <c r="K13" s="14"/>
      <c r="L13" s="14"/>
      <c r="M13" s="15"/>
      <c r="Q13" s="70"/>
    </row>
    <row r="14" spans="1:48" ht="15.75" thickBot="1" x14ac:dyDescent="0.3">
      <c r="B14" s="61"/>
      <c r="C14" s="63"/>
      <c r="D14" s="14"/>
      <c r="E14" s="14"/>
      <c r="F14" s="14"/>
      <c r="G14" s="14"/>
      <c r="H14" s="14"/>
      <c r="I14" s="14"/>
      <c r="J14" s="14"/>
      <c r="K14" s="14"/>
      <c r="L14" s="14"/>
      <c r="M14" s="15"/>
    </row>
    <row r="15" spans="1:48" ht="21.75" customHeight="1" thickBot="1" x14ac:dyDescent="0.3">
      <c r="B15" s="61"/>
      <c r="C15" s="66" t="s">
        <v>73</v>
      </c>
      <c r="D15" s="14"/>
      <c r="E15" s="14"/>
      <c r="F15" s="14"/>
      <c r="G15" s="14"/>
      <c r="H15" s="14"/>
      <c r="I15" s="63" t="s">
        <v>88</v>
      </c>
      <c r="J15" s="76" t="b">
        <f>veryfication_areDataInSheet</f>
        <v>0</v>
      </c>
      <c r="K15" s="14"/>
      <c r="L15" s="14"/>
      <c r="M15" s="15"/>
    </row>
    <row r="16" spans="1:48" ht="4.5" customHeight="1" thickBot="1" x14ac:dyDescent="0.3">
      <c r="B16" s="61"/>
      <c r="C16" s="66"/>
      <c r="D16" s="14"/>
      <c r="E16" s="14"/>
      <c r="F16" s="14"/>
      <c r="G16" s="14"/>
      <c r="H16" s="14"/>
      <c r="I16" s="14"/>
      <c r="J16" s="14"/>
      <c r="K16" s="14"/>
      <c r="L16" s="14"/>
      <c r="M16" s="15"/>
    </row>
    <row r="17" spans="2:15" ht="30.75" thickBot="1" x14ac:dyDescent="0.3">
      <c r="B17" s="61"/>
      <c r="C17" s="14"/>
      <c r="D17" s="14"/>
      <c r="E17" s="68" t="s">
        <v>75</v>
      </c>
      <c r="F17" s="68" t="s">
        <v>74</v>
      </c>
      <c r="G17" s="67" t="s">
        <v>11</v>
      </c>
      <c r="H17" s="14"/>
      <c r="I17" s="75" t="s">
        <v>80</v>
      </c>
      <c r="J17" s="76" t="b">
        <f>(COUNTIF(G18:G19,"FAŁSZ")+COUNTIF(H25:H291,"FAŁSZ")+COUNTIF($J$15,"FAŁSZ"))=0</f>
        <v>0</v>
      </c>
      <c r="K17" s="14"/>
      <c r="L17" s="14"/>
      <c r="M17" s="15"/>
    </row>
    <row r="18" spans="2:15" x14ac:dyDescent="0.25">
      <c r="B18" s="61"/>
      <c r="C18" s="14"/>
      <c r="D18" s="63" t="s">
        <v>69</v>
      </c>
      <c r="E18" s="73"/>
      <c r="F18" s="65">
        <v>0</v>
      </c>
      <c r="G18" s="65" t="str">
        <f>IF(AND(E18&lt;&gt;"",F18&lt;&gt;""),E18=F18,"")</f>
        <v/>
      </c>
      <c r="H18" s="14"/>
      <c r="I18" s="14"/>
      <c r="J18" s="14"/>
      <c r="K18" s="14"/>
      <c r="L18" s="14"/>
      <c r="M18" s="15"/>
    </row>
    <row r="19" spans="2:15" x14ac:dyDescent="0.25">
      <c r="B19" s="61"/>
      <c r="C19" s="14"/>
      <c r="D19" s="63" t="s">
        <v>64</v>
      </c>
      <c r="E19" s="73"/>
      <c r="F19" s="65">
        <v>0</v>
      </c>
      <c r="G19" s="65" t="str">
        <f>IF(AND(E19&lt;&gt;"",F19&lt;&gt;""),E19=F19,"")</f>
        <v/>
      </c>
      <c r="H19" s="14"/>
      <c r="I19" s="14"/>
      <c r="J19" s="14"/>
      <c r="K19" s="14"/>
      <c r="L19" s="14"/>
      <c r="M19" s="15"/>
    </row>
    <row r="20" spans="2:15" x14ac:dyDescent="0.25">
      <c r="B20" s="61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2:15" x14ac:dyDescent="0.25">
      <c r="B21" s="61"/>
      <c r="C21" s="14"/>
      <c r="D21" s="64"/>
      <c r="E21" s="64"/>
      <c r="F21" s="64"/>
      <c r="G21" s="14"/>
      <c r="H21" s="14"/>
      <c r="I21" s="14"/>
      <c r="J21" s="14"/>
      <c r="K21" s="14"/>
      <c r="L21" s="14"/>
      <c r="M21" s="15"/>
    </row>
    <row r="22" spans="2:15" x14ac:dyDescent="0.25">
      <c r="B22" s="61"/>
      <c r="C22" s="66" t="s">
        <v>76</v>
      </c>
      <c r="D22" s="64"/>
      <c r="E22" s="64"/>
      <c r="F22" s="64"/>
      <c r="G22" s="14"/>
      <c r="H22" s="14"/>
      <c r="I22" s="14"/>
      <c r="J22" s="14"/>
      <c r="K22" s="14"/>
      <c r="L22" s="14"/>
      <c r="M22" s="15"/>
    </row>
    <row r="23" spans="2:15" ht="4.5" customHeight="1" x14ac:dyDescent="0.25">
      <c r="B23" s="61"/>
      <c r="C23" s="66"/>
      <c r="D23" s="14"/>
      <c r="E23" s="14"/>
      <c r="F23" s="14"/>
      <c r="G23" s="14"/>
      <c r="H23" s="14"/>
      <c r="I23" s="14"/>
      <c r="J23" s="14"/>
      <c r="K23" s="14"/>
      <c r="L23" s="14"/>
      <c r="M23" s="15"/>
    </row>
    <row r="24" spans="2:15" ht="38.25" x14ac:dyDescent="0.25">
      <c r="B24" s="61"/>
      <c r="C24" s="63"/>
      <c r="D24" s="63" t="s">
        <v>1</v>
      </c>
      <c r="E24" s="69" t="s">
        <v>77</v>
      </c>
      <c r="F24" s="69" t="s">
        <v>78</v>
      </c>
      <c r="G24" s="69" t="s">
        <v>81</v>
      </c>
      <c r="H24" s="68" t="s">
        <v>11</v>
      </c>
      <c r="I24" s="14"/>
      <c r="J24" s="14"/>
      <c r="K24" s="14"/>
      <c r="L24" s="14"/>
      <c r="M24" s="15"/>
    </row>
    <row r="25" spans="2:15" x14ac:dyDescent="0.25">
      <c r="B25" s="61"/>
      <c r="C25" s="63"/>
      <c r="D25" s="77"/>
      <c r="E25" s="79"/>
      <c r="F25" s="78"/>
      <c r="G25" s="65"/>
      <c r="H25" s="65" t="str">
        <f>IF(AND(F25&lt;&gt;"",E25&lt;&gt;"",G25&lt;&gt;""),AND(F25=G25,G25=ROUND(E25,4)),"")</f>
        <v/>
      </c>
      <c r="I25" s="14"/>
      <c r="J25" s="14"/>
      <c r="K25" s="14"/>
      <c r="L25" s="14"/>
      <c r="M25" s="15"/>
    </row>
    <row r="26" spans="2:15" x14ac:dyDescent="0.25">
      <c r="B26" s="61"/>
      <c r="C26" s="63"/>
      <c r="D26" s="77"/>
      <c r="E26" s="79"/>
      <c r="F26" s="78"/>
      <c r="G26" s="65"/>
      <c r="H26" s="65" t="str">
        <f t="shared" ref="H26:H89" si="0">IF(AND(F26&lt;&gt;"",E26&lt;&gt;"",G26&lt;&gt;""),AND(F26=G26,G26=ROUND(E26,4)),"")</f>
        <v/>
      </c>
      <c r="I26" s="14"/>
      <c r="J26" s="14"/>
      <c r="K26" s="14"/>
      <c r="L26" s="14"/>
      <c r="M26" s="15"/>
    </row>
    <row r="27" spans="2:15" x14ac:dyDescent="0.25">
      <c r="B27" s="61"/>
      <c r="C27" s="63"/>
      <c r="D27" s="77"/>
      <c r="E27" s="79"/>
      <c r="F27" s="78"/>
      <c r="G27" s="65"/>
      <c r="H27" s="65" t="str">
        <f t="shared" si="0"/>
        <v/>
      </c>
      <c r="I27" s="14"/>
      <c r="J27" s="14"/>
      <c r="K27" s="14"/>
      <c r="L27" s="14"/>
      <c r="M27" s="15"/>
    </row>
    <row r="28" spans="2:15" x14ac:dyDescent="0.25">
      <c r="B28" s="61"/>
      <c r="C28" s="63"/>
      <c r="D28" s="77"/>
      <c r="E28" s="78"/>
      <c r="F28" s="78"/>
      <c r="G28" s="65"/>
      <c r="H28" s="65" t="str">
        <f t="shared" si="0"/>
        <v/>
      </c>
      <c r="I28" s="14"/>
      <c r="J28" s="14"/>
      <c r="K28" s="14"/>
      <c r="L28" s="14"/>
      <c r="M28" s="15"/>
    </row>
    <row r="29" spans="2:15" x14ac:dyDescent="0.25">
      <c r="B29" s="61"/>
      <c r="C29" s="63"/>
      <c r="D29" s="77"/>
      <c r="E29" s="78"/>
      <c r="F29" s="78"/>
      <c r="G29" s="65"/>
      <c r="H29" s="65" t="str">
        <f t="shared" si="0"/>
        <v/>
      </c>
      <c r="I29" s="14"/>
      <c r="J29" s="14"/>
      <c r="K29" s="14"/>
      <c r="L29" s="14"/>
      <c r="M29" s="15"/>
    </row>
    <row r="30" spans="2:15" x14ac:dyDescent="0.25">
      <c r="B30" s="61"/>
      <c r="C30" s="14"/>
      <c r="D30" s="77"/>
      <c r="E30" s="78"/>
      <c r="F30" s="78"/>
      <c r="G30" s="65"/>
      <c r="H30" s="65" t="str">
        <f t="shared" si="0"/>
        <v/>
      </c>
      <c r="I30" s="14"/>
      <c r="J30" s="14"/>
      <c r="K30" s="14"/>
      <c r="L30" s="14"/>
      <c r="M30" s="15"/>
    </row>
    <row r="31" spans="2:15" x14ac:dyDescent="0.25">
      <c r="B31" s="61"/>
      <c r="C31" s="14"/>
      <c r="D31" s="77"/>
      <c r="E31" s="78"/>
      <c r="F31" s="78"/>
      <c r="G31" s="65"/>
      <c r="H31" s="65" t="str">
        <f t="shared" si="0"/>
        <v/>
      </c>
      <c r="I31" s="14"/>
      <c r="J31" s="14"/>
      <c r="K31" s="14"/>
      <c r="L31" s="14"/>
      <c r="M31" s="15"/>
    </row>
    <row r="32" spans="2:15" x14ac:dyDescent="0.25">
      <c r="B32" s="61"/>
      <c r="C32" s="14"/>
      <c r="D32" s="77"/>
      <c r="E32" s="78"/>
      <c r="F32" s="78"/>
      <c r="G32" s="65"/>
      <c r="H32" s="65" t="str">
        <f t="shared" si="0"/>
        <v/>
      </c>
      <c r="I32" s="14"/>
      <c r="J32" s="14"/>
      <c r="K32" s="14"/>
      <c r="L32" s="14"/>
      <c r="M32" s="15"/>
      <c r="O32" s="1"/>
    </row>
    <row r="33" spans="2:13" x14ac:dyDescent="0.25">
      <c r="B33" s="61"/>
      <c r="C33" s="14"/>
      <c r="D33" s="77"/>
      <c r="E33" s="78"/>
      <c r="F33" s="78"/>
      <c r="G33" s="65"/>
      <c r="H33" s="65" t="str">
        <f t="shared" si="0"/>
        <v/>
      </c>
      <c r="I33" s="14"/>
      <c r="J33" s="14"/>
      <c r="K33" s="14"/>
      <c r="L33" s="14"/>
      <c r="M33" s="15"/>
    </row>
    <row r="34" spans="2:13" x14ac:dyDescent="0.25">
      <c r="B34" s="61"/>
      <c r="C34" s="14"/>
      <c r="D34" s="77"/>
      <c r="E34" s="78"/>
      <c r="F34" s="78"/>
      <c r="G34" s="65"/>
      <c r="H34" s="65" t="str">
        <f t="shared" si="0"/>
        <v/>
      </c>
      <c r="I34" s="14"/>
      <c r="J34" s="14"/>
      <c r="K34" s="14"/>
      <c r="L34" s="14"/>
      <c r="M34" s="15"/>
    </row>
    <row r="35" spans="2:13" x14ac:dyDescent="0.25">
      <c r="B35" s="61"/>
      <c r="C35" s="14"/>
      <c r="D35" s="77"/>
      <c r="E35" s="78"/>
      <c r="F35" s="78"/>
      <c r="G35" s="65"/>
      <c r="H35" s="65" t="str">
        <f t="shared" si="0"/>
        <v/>
      </c>
      <c r="I35" s="14"/>
      <c r="J35" s="14"/>
      <c r="K35" s="14"/>
      <c r="L35" s="14"/>
      <c r="M35" s="15"/>
    </row>
    <row r="36" spans="2:13" x14ac:dyDescent="0.25">
      <c r="B36" s="61"/>
      <c r="C36" s="14"/>
      <c r="D36" s="77"/>
      <c r="E36" s="78"/>
      <c r="F36" s="78"/>
      <c r="G36" s="65"/>
      <c r="H36" s="65" t="str">
        <f t="shared" si="0"/>
        <v/>
      </c>
      <c r="I36" s="14"/>
      <c r="J36" s="14"/>
      <c r="K36" s="14"/>
      <c r="L36" s="14"/>
      <c r="M36" s="15"/>
    </row>
    <row r="37" spans="2:13" x14ac:dyDescent="0.25">
      <c r="B37" s="61"/>
      <c r="C37" s="14"/>
      <c r="D37" s="77"/>
      <c r="E37" s="78"/>
      <c r="F37" s="78"/>
      <c r="G37" s="65"/>
      <c r="H37" s="65" t="str">
        <f t="shared" si="0"/>
        <v/>
      </c>
      <c r="I37" s="14"/>
      <c r="J37" s="14"/>
      <c r="K37" s="14"/>
      <c r="L37" s="14"/>
      <c r="M37" s="15"/>
    </row>
    <row r="38" spans="2:13" x14ac:dyDescent="0.25">
      <c r="B38" s="61"/>
      <c r="C38" s="14"/>
      <c r="D38" s="77"/>
      <c r="E38" s="78"/>
      <c r="F38" s="78"/>
      <c r="G38" s="65"/>
      <c r="H38" s="65" t="str">
        <f t="shared" si="0"/>
        <v/>
      </c>
      <c r="I38" s="14"/>
      <c r="J38" s="14"/>
      <c r="K38" s="14"/>
      <c r="L38" s="14"/>
      <c r="M38" s="15"/>
    </row>
    <row r="39" spans="2:13" x14ac:dyDescent="0.25">
      <c r="B39" s="61"/>
      <c r="C39" s="14"/>
      <c r="D39" s="77"/>
      <c r="E39" s="78"/>
      <c r="F39" s="78"/>
      <c r="G39" s="65"/>
      <c r="H39" s="65" t="str">
        <f t="shared" si="0"/>
        <v/>
      </c>
      <c r="I39" s="14"/>
      <c r="J39" s="14"/>
      <c r="K39" s="14"/>
      <c r="L39" s="14"/>
      <c r="M39" s="15"/>
    </row>
    <row r="40" spans="2:13" x14ac:dyDescent="0.25">
      <c r="B40" s="61"/>
      <c r="C40" s="14"/>
      <c r="D40" s="77"/>
      <c r="E40" s="78"/>
      <c r="F40" s="78"/>
      <c r="G40" s="65"/>
      <c r="H40" s="65" t="str">
        <f t="shared" si="0"/>
        <v/>
      </c>
      <c r="I40" s="14"/>
      <c r="J40" s="14"/>
      <c r="K40" s="14"/>
      <c r="L40" s="14"/>
      <c r="M40" s="15"/>
    </row>
    <row r="41" spans="2:13" x14ac:dyDescent="0.25">
      <c r="B41" s="61"/>
      <c r="C41" s="14"/>
      <c r="D41" s="77"/>
      <c r="E41" s="78"/>
      <c r="F41" s="78"/>
      <c r="G41" s="65"/>
      <c r="H41" s="65" t="str">
        <f t="shared" si="0"/>
        <v/>
      </c>
      <c r="I41" s="14"/>
      <c r="J41" s="14"/>
      <c r="K41" s="14"/>
      <c r="L41" s="14"/>
      <c r="M41" s="15"/>
    </row>
    <row r="42" spans="2:13" x14ac:dyDescent="0.25">
      <c r="B42" s="61"/>
      <c r="C42" s="14"/>
      <c r="D42" s="77"/>
      <c r="E42" s="78"/>
      <c r="F42" s="78"/>
      <c r="G42" s="65"/>
      <c r="H42" s="65" t="str">
        <f t="shared" si="0"/>
        <v/>
      </c>
      <c r="I42" s="14"/>
      <c r="J42" s="14"/>
      <c r="K42" s="14"/>
      <c r="L42" s="14"/>
      <c r="M42" s="15"/>
    </row>
    <row r="43" spans="2:13" x14ac:dyDescent="0.25">
      <c r="B43" s="61"/>
      <c r="C43" s="14"/>
      <c r="D43" s="77"/>
      <c r="E43" s="78"/>
      <c r="F43" s="78"/>
      <c r="G43" s="65"/>
      <c r="H43" s="65" t="str">
        <f t="shared" si="0"/>
        <v/>
      </c>
      <c r="I43" s="14"/>
      <c r="J43" s="14"/>
      <c r="K43" s="14"/>
      <c r="L43" s="14"/>
      <c r="M43" s="15"/>
    </row>
    <row r="44" spans="2:13" x14ac:dyDescent="0.25">
      <c r="B44" s="61"/>
      <c r="C44" s="14"/>
      <c r="D44" s="77"/>
      <c r="E44" s="78"/>
      <c r="F44" s="78"/>
      <c r="G44" s="65"/>
      <c r="H44" s="65" t="str">
        <f t="shared" si="0"/>
        <v/>
      </c>
      <c r="I44" s="14"/>
      <c r="J44" s="14"/>
      <c r="K44" s="14"/>
      <c r="L44" s="14"/>
      <c r="M44" s="15"/>
    </row>
    <row r="45" spans="2:13" x14ac:dyDescent="0.25">
      <c r="B45" s="61"/>
      <c r="C45" s="14"/>
      <c r="D45" s="77"/>
      <c r="E45" s="78"/>
      <c r="F45" s="78"/>
      <c r="G45" s="65"/>
      <c r="H45" s="65" t="str">
        <f t="shared" si="0"/>
        <v/>
      </c>
      <c r="I45" s="14"/>
      <c r="J45" s="14"/>
      <c r="K45" s="14"/>
      <c r="L45" s="14"/>
      <c r="M45" s="15"/>
    </row>
    <row r="46" spans="2:13" x14ac:dyDescent="0.25">
      <c r="B46" s="61"/>
      <c r="C46" s="14"/>
      <c r="D46" s="77"/>
      <c r="E46" s="78"/>
      <c r="F46" s="78"/>
      <c r="G46" s="65"/>
      <c r="H46" s="65" t="str">
        <f t="shared" si="0"/>
        <v/>
      </c>
      <c r="I46" s="14"/>
      <c r="J46" s="14"/>
      <c r="K46" s="14"/>
      <c r="L46" s="14"/>
      <c r="M46" s="15"/>
    </row>
    <row r="47" spans="2:13" x14ac:dyDescent="0.25">
      <c r="B47" s="61"/>
      <c r="C47" s="14"/>
      <c r="D47" s="77"/>
      <c r="E47" s="78"/>
      <c r="F47" s="78"/>
      <c r="G47" s="65"/>
      <c r="H47" s="65" t="str">
        <f t="shared" si="0"/>
        <v/>
      </c>
      <c r="I47" s="14"/>
      <c r="J47" s="14"/>
      <c r="K47" s="14"/>
      <c r="L47" s="14"/>
      <c r="M47" s="15"/>
    </row>
    <row r="48" spans="2:13" x14ac:dyDescent="0.25">
      <c r="B48" s="61"/>
      <c r="C48" s="14"/>
      <c r="D48" s="77"/>
      <c r="E48" s="78"/>
      <c r="F48" s="78"/>
      <c r="G48" s="65"/>
      <c r="H48" s="65" t="str">
        <f t="shared" si="0"/>
        <v/>
      </c>
      <c r="I48" s="14"/>
      <c r="J48" s="14"/>
      <c r="K48" s="14"/>
      <c r="L48" s="14"/>
      <c r="M48" s="15"/>
    </row>
    <row r="49" spans="2:13" x14ac:dyDescent="0.25">
      <c r="B49" s="61"/>
      <c r="C49" s="14"/>
      <c r="D49" s="77"/>
      <c r="E49" s="78"/>
      <c r="F49" s="78"/>
      <c r="G49" s="65"/>
      <c r="H49" s="65" t="str">
        <f t="shared" si="0"/>
        <v/>
      </c>
      <c r="I49" s="14"/>
      <c r="J49" s="14"/>
      <c r="K49" s="14"/>
      <c r="L49" s="14"/>
      <c r="M49" s="15"/>
    </row>
    <row r="50" spans="2:13" x14ac:dyDescent="0.25">
      <c r="B50" s="61"/>
      <c r="C50" s="14"/>
      <c r="D50" s="77"/>
      <c r="E50" s="78"/>
      <c r="F50" s="78"/>
      <c r="G50" s="65"/>
      <c r="H50" s="65" t="str">
        <f t="shared" si="0"/>
        <v/>
      </c>
      <c r="I50" s="14"/>
      <c r="J50" s="14"/>
      <c r="K50" s="14"/>
      <c r="L50" s="14"/>
      <c r="M50" s="15"/>
    </row>
    <row r="51" spans="2:13" x14ac:dyDescent="0.25">
      <c r="B51" s="61"/>
      <c r="C51" s="14"/>
      <c r="D51" s="77"/>
      <c r="E51" s="78"/>
      <c r="F51" s="78"/>
      <c r="G51" s="65"/>
      <c r="H51" s="65" t="str">
        <f t="shared" si="0"/>
        <v/>
      </c>
      <c r="I51" s="14"/>
      <c r="J51" s="14"/>
      <c r="K51" s="14"/>
      <c r="L51" s="14"/>
      <c r="M51" s="15"/>
    </row>
    <row r="52" spans="2:13" x14ac:dyDescent="0.25">
      <c r="B52" s="61"/>
      <c r="C52" s="14"/>
      <c r="D52" s="77"/>
      <c r="E52" s="78"/>
      <c r="F52" s="78"/>
      <c r="G52" s="65"/>
      <c r="H52" s="65" t="str">
        <f t="shared" si="0"/>
        <v/>
      </c>
      <c r="I52" s="14"/>
      <c r="J52" s="14"/>
      <c r="K52" s="14"/>
      <c r="L52" s="14"/>
      <c r="M52" s="15"/>
    </row>
    <row r="53" spans="2:13" x14ac:dyDescent="0.25">
      <c r="B53" s="61"/>
      <c r="C53" s="14"/>
      <c r="D53" s="77"/>
      <c r="E53" s="78"/>
      <c r="F53" s="78"/>
      <c r="G53" s="65"/>
      <c r="H53" s="65" t="str">
        <f t="shared" si="0"/>
        <v/>
      </c>
      <c r="I53" s="14"/>
      <c r="J53" s="14"/>
      <c r="K53" s="14"/>
      <c r="L53" s="14"/>
      <c r="M53" s="15"/>
    </row>
    <row r="54" spans="2:13" x14ac:dyDescent="0.25">
      <c r="B54" s="61"/>
      <c r="C54" s="14"/>
      <c r="D54" s="77"/>
      <c r="E54" s="78"/>
      <c r="F54" s="78"/>
      <c r="G54" s="65"/>
      <c r="H54" s="65" t="str">
        <f t="shared" si="0"/>
        <v/>
      </c>
      <c r="I54" s="14"/>
      <c r="J54" s="14"/>
      <c r="K54" s="14"/>
      <c r="L54" s="14"/>
      <c r="M54" s="15"/>
    </row>
    <row r="55" spans="2:13" x14ac:dyDescent="0.25">
      <c r="B55" s="61"/>
      <c r="C55" s="14"/>
      <c r="D55" s="77"/>
      <c r="E55" s="78"/>
      <c r="F55" s="78"/>
      <c r="G55" s="65"/>
      <c r="H55" s="65" t="str">
        <f t="shared" si="0"/>
        <v/>
      </c>
      <c r="I55" s="14"/>
      <c r="J55" s="14"/>
      <c r="K55" s="14"/>
      <c r="L55" s="14"/>
      <c r="M55" s="15"/>
    </row>
    <row r="56" spans="2:13" x14ac:dyDescent="0.25">
      <c r="B56" s="61"/>
      <c r="C56" s="14"/>
      <c r="D56" s="77"/>
      <c r="E56" s="78"/>
      <c r="F56" s="78"/>
      <c r="G56" s="65"/>
      <c r="H56" s="65" t="str">
        <f t="shared" si="0"/>
        <v/>
      </c>
      <c r="I56" s="14"/>
      <c r="J56" s="14"/>
      <c r="K56" s="14"/>
      <c r="L56" s="14"/>
      <c r="M56" s="15"/>
    </row>
    <row r="57" spans="2:13" x14ac:dyDescent="0.25">
      <c r="B57" s="61"/>
      <c r="C57" s="14"/>
      <c r="D57" s="77"/>
      <c r="E57" s="78"/>
      <c r="F57" s="78"/>
      <c r="G57" s="65"/>
      <c r="H57" s="65" t="str">
        <f t="shared" si="0"/>
        <v/>
      </c>
      <c r="I57" s="14"/>
      <c r="J57" s="14"/>
      <c r="K57" s="14"/>
      <c r="L57" s="14"/>
      <c r="M57" s="15"/>
    </row>
    <row r="58" spans="2:13" x14ac:dyDescent="0.25">
      <c r="B58" s="61"/>
      <c r="C58" s="14"/>
      <c r="D58" s="77"/>
      <c r="E58" s="78"/>
      <c r="F58" s="78"/>
      <c r="G58" s="65"/>
      <c r="H58" s="65" t="str">
        <f t="shared" si="0"/>
        <v/>
      </c>
      <c r="I58" s="14"/>
      <c r="J58" s="14"/>
      <c r="K58" s="14"/>
      <c r="L58" s="14"/>
      <c r="M58" s="15"/>
    </row>
    <row r="59" spans="2:13" x14ac:dyDescent="0.25">
      <c r="B59" s="61"/>
      <c r="C59" s="14"/>
      <c r="D59" s="77"/>
      <c r="E59" s="78"/>
      <c r="F59" s="78"/>
      <c r="G59" s="65"/>
      <c r="H59" s="65" t="str">
        <f t="shared" si="0"/>
        <v/>
      </c>
      <c r="I59" s="14"/>
      <c r="J59" s="14"/>
      <c r="K59" s="14"/>
      <c r="L59" s="14"/>
      <c r="M59" s="15"/>
    </row>
    <row r="60" spans="2:13" x14ac:dyDescent="0.25">
      <c r="B60" s="61"/>
      <c r="C60" s="14"/>
      <c r="D60" s="77"/>
      <c r="E60" s="78"/>
      <c r="F60" s="78"/>
      <c r="G60" s="65"/>
      <c r="H60" s="65" t="str">
        <f t="shared" si="0"/>
        <v/>
      </c>
      <c r="I60" s="14"/>
      <c r="J60" s="14"/>
      <c r="K60" s="14"/>
      <c r="L60" s="14"/>
      <c r="M60" s="15"/>
    </row>
    <row r="61" spans="2:13" x14ac:dyDescent="0.25">
      <c r="B61" s="61"/>
      <c r="C61" s="14"/>
      <c r="D61" s="77"/>
      <c r="E61" s="78"/>
      <c r="F61" s="78"/>
      <c r="G61" s="65"/>
      <c r="H61" s="65" t="str">
        <f t="shared" si="0"/>
        <v/>
      </c>
      <c r="I61" s="14"/>
      <c r="J61" s="14"/>
      <c r="K61" s="14"/>
      <c r="L61" s="14"/>
      <c r="M61" s="15"/>
    </row>
    <row r="62" spans="2:13" x14ac:dyDescent="0.25">
      <c r="B62" s="61"/>
      <c r="C62" s="14"/>
      <c r="D62" s="77"/>
      <c r="E62" s="78"/>
      <c r="F62" s="78"/>
      <c r="G62" s="65"/>
      <c r="H62" s="65" t="str">
        <f t="shared" si="0"/>
        <v/>
      </c>
      <c r="I62" s="14"/>
      <c r="J62" s="14"/>
      <c r="K62" s="14"/>
      <c r="L62" s="14"/>
      <c r="M62" s="15"/>
    </row>
    <row r="63" spans="2:13" x14ac:dyDescent="0.25">
      <c r="B63" s="61"/>
      <c r="C63" s="14"/>
      <c r="D63" s="77"/>
      <c r="E63" s="78"/>
      <c r="F63" s="78"/>
      <c r="G63" s="65"/>
      <c r="H63" s="65" t="str">
        <f t="shared" si="0"/>
        <v/>
      </c>
      <c r="I63" s="14"/>
      <c r="J63" s="14"/>
      <c r="K63" s="14"/>
      <c r="L63" s="14"/>
      <c r="M63" s="15"/>
    </row>
    <row r="64" spans="2:13" x14ac:dyDescent="0.25">
      <c r="B64" s="61"/>
      <c r="C64" s="14"/>
      <c r="D64" s="77"/>
      <c r="E64" s="78"/>
      <c r="F64" s="78"/>
      <c r="G64" s="65"/>
      <c r="H64" s="65" t="str">
        <f t="shared" si="0"/>
        <v/>
      </c>
      <c r="I64" s="14"/>
      <c r="J64" s="14"/>
      <c r="K64" s="14"/>
      <c r="L64" s="14"/>
      <c r="M64" s="15"/>
    </row>
    <row r="65" spans="2:13" x14ac:dyDescent="0.25">
      <c r="B65" s="61"/>
      <c r="C65" s="14"/>
      <c r="D65" s="77"/>
      <c r="E65" s="78"/>
      <c r="F65" s="78"/>
      <c r="G65" s="65"/>
      <c r="H65" s="65" t="str">
        <f t="shared" si="0"/>
        <v/>
      </c>
      <c r="I65" s="14"/>
      <c r="J65" s="14"/>
      <c r="K65" s="14"/>
      <c r="L65" s="14"/>
      <c r="M65" s="15"/>
    </row>
    <row r="66" spans="2:13" x14ac:dyDescent="0.25">
      <c r="B66" s="61"/>
      <c r="C66" s="14"/>
      <c r="D66" s="77"/>
      <c r="E66" s="78"/>
      <c r="F66" s="78"/>
      <c r="G66" s="65"/>
      <c r="H66" s="65" t="str">
        <f t="shared" si="0"/>
        <v/>
      </c>
      <c r="I66" s="14"/>
      <c r="J66" s="14"/>
      <c r="K66" s="14"/>
      <c r="L66" s="14"/>
      <c r="M66" s="15"/>
    </row>
    <row r="67" spans="2:13" x14ac:dyDescent="0.25">
      <c r="B67" s="61"/>
      <c r="C67" s="14"/>
      <c r="D67" s="77"/>
      <c r="E67" s="78"/>
      <c r="F67" s="78"/>
      <c r="G67" s="65"/>
      <c r="H67" s="65" t="str">
        <f t="shared" si="0"/>
        <v/>
      </c>
      <c r="I67" s="14"/>
      <c r="J67" s="14"/>
      <c r="K67" s="14"/>
      <c r="L67" s="14"/>
      <c r="M67" s="15"/>
    </row>
    <row r="68" spans="2:13" x14ac:dyDescent="0.25">
      <c r="B68" s="61"/>
      <c r="C68" s="14"/>
      <c r="D68" s="77"/>
      <c r="E68" s="78"/>
      <c r="F68" s="78"/>
      <c r="G68" s="65"/>
      <c r="H68" s="65" t="str">
        <f t="shared" si="0"/>
        <v/>
      </c>
      <c r="I68" s="14"/>
      <c r="J68" s="14"/>
      <c r="K68" s="14"/>
      <c r="L68" s="14"/>
      <c r="M68" s="15"/>
    </row>
    <row r="69" spans="2:13" x14ac:dyDescent="0.25">
      <c r="B69" s="61"/>
      <c r="C69" s="14"/>
      <c r="D69" s="77"/>
      <c r="E69" s="78"/>
      <c r="F69" s="78"/>
      <c r="G69" s="65"/>
      <c r="H69" s="65" t="str">
        <f t="shared" si="0"/>
        <v/>
      </c>
      <c r="I69" s="14"/>
      <c r="J69" s="14"/>
      <c r="K69" s="14"/>
      <c r="L69" s="14"/>
      <c r="M69" s="15"/>
    </row>
    <row r="70" spans="2:13" x14ac:dyDescent="0.25">
      <c r="B70" s="61"/>
      <c r="C70" s="14"/>
      <c r="D70" s="77"/>
      <c r="E70" s="78"/>
      <c r="F70" s="78"/>
      <c r="G70" s="65"/>
      <c r="H70" s="65" t="str">
        <f t="shared" si="0"/>
        <v/>
      </c>
      <c r="I70" s="14"/>
      <c r="J70" s="14"/>
      <c r="K70" s="14"/>
      <c r="L70" s="14"/>
      <c r="M70" s="15"/>
    </row>
    <row r="71" spans="2:13" x14ac:dyDescent="0.25">
      <c r="B71" s="61"/>
      <c r="C71" s="14"/>
      <c r="D71" s="77"/>
      <c r="E71" s="78"/>
      <c r="F71" s="78"/>
      <c r="G71" s="65"/>
      <c r="H71" s="65" t="str">
        <f t="shared" si="0"/>
        <v/>
      </c>
      <c r="I71" s="14"/>
      <c r="J71" s="14"/>
      <c r="K71" s="14"/>
      <c r="L71" s="14"/>
      <c r="M71" s="15"/>
    </row>
    <row r="72" spans="2:13" x14ac:dyDescent="0.25">
      <c r="B72" s="61"/>
      <c r="C72" s="14"/>
      <c r="D72" s="77"/>
      <c r="E72" s="78"/>
      <c r="F72" s="78"/>
      <c r="G72" s="65"/>
      <c r="H72" s="65" t="str">
        <f t="shared" si="0"/>
        <v/>
      </c>
      <c r="I72" s="14"/>
      <c r="J72" s="14"/>
      <c r="K72" s="14"/>
      <c r="L72" s="14"/>
      <c r="M72" s="15"/>
    </row>
    <row r="73" spans="2:13" x14ac:dyDescent="0.25">
      <c r="B73" s="61"/>
      <c r="C73" s="14"/>
      <c r="D73" s="77"/>
      <c r="E73" s="78"/>
      <c r="F73" s="78"/>
      <c r="G73" s="65"/>
      <c r="H73" s="65" t="str">
        <f t="shared" si="0"/>
        <v/>
      </c>
      <c r="I73" s="14"/>
      <c r="J73" s="14"/>
      <c r="K73" s="14"/>
      <c r="L73" s="14"/>
      <c r="M73" s="15"/>
    </row>
    <row r="74" spans="2:13" x14ac:dyDescent="0.25">
      <c r="B74" s="61"/>
      <c r="C74" s="14"/>
      <c r="D74" s="77"/>
      <c r="E74" s="78"/>
      <c r="F74" s="78"/>
      <c r="G74" s="65"/>
      <c r="H74" s="65" t="str">
        <f t="shared" si="0"/>
        <v/>
      </c>
      <c r="I74" s="14"/>
      <c r="J74" s="14"/>
      <c r="K74" s="14"/>
      <c r="L74" s="14"/>
      <c r="M74" s="15"/>
    </row>
    <row r="75" spans="2:13" x14ac:dyDescent="0.25">
      <c r="B75" s="61"/>
      <c r="C75" s="14"/>
      <c r="D75" s="77"/>
      <c r="E75" s="78"/>
      <c r="F75" s="78"/>
      <c r="G75" s="65"/>
      <c r="H75" s="65" t="str">
        <f t="shared" si="0"/>
        <v/>
      </c>
      <c r="I75" s="14"/>
      <c r="J75" s="14"/>
      <c r="K75" s="14"/>
      <c r="L75" s="14"/>
      <c r="M75" s="15"/>
    </row>
    <row r="76" spans="2:13" x14ac:dyDescent="0.25">
      <c r="B76" s="61"/>
      <c r="C76" s="14"/>
      <c r="D76" s="77"/>
      <c r="E76" s="78"/>
      <c r="F76" s="78"/>
      <c r="G76" s="65"/>
      <c r="H76" s="65" t="str">
        <f t="shared" si="0"/>
        <v/>
      </c>
      <c r="I76" s="14"/>
      <c r="J76" s="14"/>
      <c r="K76" s="14"/>
      <c r="L76" s="14"/>
      <c r="M76" s="15"/>
    </row>
    <row r="77" spans="2:13" x14ac:dyDescent="0.25">
      <c r="B77" s="61"/>
      <c r="C77" s="14"/>
      <c r="D77" s="77"/>
      <c r="E77" s="78"/>
      <c r="F77" s="78"/>
      <c r="G77" s="65"/>
      <c r="H77" s="65" t="str">
        <f t="shared" si="0"/>
        <v/>
      </c>
      <c r="I77" s="14"/>
      <c r="J77" s="14"/>
      <c r="K77" s="14"/>
      <c r="L77" s="14"/>
      <c r="M77" s="15"/>
    </row>
    <row r="78" spans="2:13" x14ac:dyDescent="0.25">
      <c r="B78" s="61"/>
      <c r="C78" s="14"/>
      <c r="D78" s="77"/>
      <c r="E78" s="78"/>
      <c r="F78" s="78"/>
      <c r="G78" s="65"/>
      <c r="H78" s="65" t="str">
        <f t="shared" si="0"/>
        <v/>
      </c>
      <c r="I78" s="14"/>
      <c r="J78" s="14"/>
      <c r="K78" s="14"/>
      <c r="L78" s="14"/>
      <c r="M78" s="15"/>
    </row>
    <row r="79" spans="2:13" x14ac:dyDescent="0.25">
      <c r="B79" s="61"/>
      <c r="C79" s="14"/>
      <c r="D79" s="77"/>
      <c r="E79" s="78"/>
      <c r="F79" s="78"/>
      <c r="G79" s="65"/>
      <c r="H79" s="65" t="str">
        <f t="shared" si="0"/>
        <v/>
      </c>
      <c r="I79" s="14"/>
      <c r="J79" s="14"/>
      <c r="K79" s="14"/>
      <c r="L79" s="14"/>
      <c r="M79" s="15"/>
    </row>
    <row r="80" spans="2:13" x14ac:dyDescent="0.25">
      <c r="B80" s="61"/>
      <c r="C80" s="14"/>
      <c r="D80" s="77"/>
      <c r="E80" s="78"/>
      <c r="F80" s="78"/>
      <c r="G80" s="65"/>
      <c r="H80" s="65" t="str">
        <f t="shared" si="0"/>
        <v/>
      </c>
      <c r="I80" s="14"/>
      <c r="J80" s="14"/>
      <c r="K80" s="14"/>
      <c r="L80" s="14"/>
      <c r="M80" s="15"/>
    </row>
    <row r="81" spans="2:13" x14ac:dyDescent="0.25">
      <c r="B81" s="61"/>
      <c r="C81" s="14"/>
      <c r="D81" s="77"/>
      <c r="E81" s="78"/>
      <c r="F81" s="78"/>
      <c r="G81" s="65"/>
      <c r="H81" s="65" t="str">
        <f t="shared" si="0"/>
        <v/>
      </c>
      <c r="I81" s="14"/>
      <c r="J81" s="14"/>
      <c r="K81" s="14"/>
      <c r="L81" s="14"/>
      <c r="M81" s="15"/>
    </row>
    <row r="82" spans="2:13" x14ac:dyDescent="0.25">
      <c r="B82" s="61"/>
      <c r="C82" s="14"/>
      <c r="D82" s="77"/>
      <c r="E82" s="78"/>
      <c r="F82" s="78"/>
      <c r="G82" s="65"/>
      <c r="H82" s="65" t="str">
        <f t="shared" si="0"/>
        <v/>
      </c>
      <c r="I82" s="14"/>
      <c r="J82" s="14"/>
      <c r="K82" s="14"/>
      <c r="L82" s="14"/>
      <c r="M82" s="15"/>
    </row>
    <row r="83" spans="2:13" x14ac:dyDescent="0.25">
      <c r="B83" s="61"/>
      <c r="C83" s="14"/>
      <c r="D83" s="77"/>
      <c r="E83" s="78"/>
      <c r="F83" s="78"/>
      <c r="G83" s="65"/>
      <c r="H83" s="65" t="str">
        <f t="shared" si="0"/>
        <v/>
      </c>
      <c r="I83" s="14"/>
      <c r="J83" s="14"/>
      <c r="K83" s="14"/>
      <c r="L83" s="14"/>
      <c r="M83" s="15"/>
    </row>
    <row r="84" spans="2:13" x14ac:dyDescent="0.25">
      <c r="B84" s="61"/>
      <c r="C84" s="14"/>
      <c r="D84" s="77"/>
      <c r="E84" s="78"/>
      <c r="F84" s="78"/>
      <c r="G84" s="65"/>
      <c r="H84" s="65" t="str">
        <f t="shared" si="0"/>
        <v/>
      </c>
      <c r="I84" s="14"/>
      <c r="J84" s="14"/>
      <c r="K84" s="14"/>
      <c r="L84" s="14"/>
      <c r="M84" s="15"/>
    </row>
    <row r="85" spans="2:13" x14ac:dyDescent="0.25">
      <c r="B85" s="61"/>
      <c r="C85" s="14"/>
      <c r="D85" s="77"/>
      <c r="E85" s="78"/>
      <c r="F85" s="78"/>
      <c r="G85" s="65"/>
      <c r="H85" s="65" t="str">
        <f t="shared" si="0"/>
        <v/>
      </c>
      <c r="I85" s="14"/>
      <c r="J85" s="14"/>
      <c r="K85" s="14"/>
      <c r="L85" s="14"/>
      <c r="M85" s="15"/>
    </row>
    <row r="86" spans="2:13" x14ac:dyDescent="0.25">
      <c r="B86" s="61"/>
      <c r="C86" s="14"/>
      <c r="D86" s="77"/>
      <c r="E86" s="78"/>
      <c r="F86" s="78"/>
      <c r="G86" s="65"/>
      <c r="H86" s="65" t="str">
        <f t="shared" si="0"/>
        <v/>
      </c>
      <c r="I86" s="14"/>
      <c r="J86" s="14"/>
      <c r="K86" s="14"/>
      <c r="L86" s="14"/>
      <c r="M86" s="15"/>
    </row>
    <row r="87" spans="2:13" x14ac:dyDescent="0.25">
      <c r="B87" s="61"/>
      <c r="C87" s="14"/>
      <c r="D87" s="77"/>
      <c r="E87" s="78"/>
      <c r="F87" s="78"/>
      <c r="G87" s="65"/>
      <c r="H87" s="65" t="str">
        <f t="shared" si="0"/>
        <v/>
      </c>
      <c r="I87" s="14"/>
      <c r="J87" s="14"/>
      <c r="K87" s="14"/>
      <c r="L87" s="14"/>
      <c r="M87" s="15"/>
    </row>
    <row r="88" spans="2:13" x14ac:dyDescent="0.25">
      <c r="B88" s="61"/>
      <c r="C88" s="14"/>
      <c r="D88" s="77"/>
      <c r="E88" s="78"/>
      <c r="F88" s="78"/>
      <c r="G88" s="65"/>
      <c r="H88" s="65" t="str">
        <f t="shared" si="0"/>
        <v/>
      </c>
      <c r="I88" s="14"/>
      <c r="J88" s="14"/>
      <c r="K88" s="14"/>
      <c r="L88" s="14"/>
      <c r="M88" s="15"/>
    </row>
    <row r="89" spans="2:13" x14ac:dyDescent="0.25">
      <c r="B89" s="61"/>
      <c r="C89" s="14"/>
      <c r="D89" s="77"/>
      <c r="E89" s="78"/>
      <c r="F89" s="78"/>
      <c r="G89" s="65"/>
      <c r="H89" s="65" t="str">
        <f t="shared" si="0"/>
        <v/>
      </c>
      <c r="I89" s="14"/>
      <c r="J89" s="14"/>
      <c r="K89" s="14"/>
      <c r="L89" s="14"/>
      <c r="M89" s="15"/>
    </row>
    <row r="90" spans="2:13" x14ac:dyDescent="0.25">
      <c r="B90" s="61"/>
      <c r="C90" s="14"/>
      <c r="D90" s="77"/>
      <c r="E90" s="78"/>
      <c r="F90" s="78"/>
      <c r="G90" s="65"/>
      <c r="H90" s="65" t="str">
        <f t="shared" ref="H90:H153" si="1">IF(AND(F90&lt;&gt;"",E90&lt;&gt;"",G90&lt;&gt;""),AND(F90=G90,G90=ROUND(E90,4)),"")</f>
        <v/>
      </c>
      <c r="I90" s="14"/>
      <c r="J90" s="14"/>
      <c r="K90" s="14"/>
      <c r="L90" s="14"/>
      <c r="M90" s="15"/>
    </row>
    <row r="91" spans="2:13" x14ac:dyDescent="0.25">
      <c r="B91" s="61"/>
      <c r="C91" s="14"/>
      <c r="D91" s="77"/>
      <c r="E91" s="78"/>
      <c r="F91" s="78"/>
      <c r="G91" s="65"/>
      <c r="H91" s="65" t="str">
        <f t="shared" si="1"/>
        <v/>
      </c>
      <c r="I91" s="14"/>
      <c r="J91" s="14"/>
      <c r="K91" s="14"/>
      <c r="L91" s="14"/>
      <c r="M91" s="15"/>
    </row>
    <row r="92" spans="2:13" x14ac:dyDescent="0.25">
      <c r="B92" s="61"/>
      <c r="C92" s="14"/>
      <c r="D92" s="77"/>
      <c r="E92" s="78"/>
      <c r="F92" s="78"/>
      <c r="G92" s="65"/>
      <c r="H92" s="65" t="str">
        <f t="shared" si="1"/>
        <v/>
      </c>
      <c r="I92" s="14"/>
      <c r="J92" s="14"/>
      <c r="K92" s="14"/>
      <c r="L92" s="14"/>
      <c r="M92" s="15"/>
    </row>
    <row r="93" spans="2:13" x14ac:dyDescent="0.25">
      <c r="B93" s="61"/>
      <c r="C93" s="14"/>
      <c r="D93" s="77"/>
      <c r="E93" s="78"/>
      <c r="F93" s="78"/>
      <c r="G93" s="65"/>
      <c r="H93" s="65" t="str">
        <f t="shared" si="1"/>
        <v/>
      </c>
      <c r="I93" s="14"/>
      <c r="J93" s="14"/>
      <c r="K93" s="14"/>
      <c r="L93" s="14"/>
      <c r="M93" s="15"/>
    </row>
    <row r="94" spans="2:13" x14ac:dyDescent="0.25">
      <c r="B94" s="61"/>
      <c r="C94" s="14"/>
      <c r="D94" s="77"/>
      <c r="E94" s="78"/>
      <c r="F94" s="78"/>
      <c r="G94" s="65"/>
      <c r="H94" s="65" t="str">
        <f t="shared" si="1"/>
        <v/>
      </c>
      <c r="I94" s="14"/>
      <c r="J94" s="14"/>
      <c r="K94" s="14"/>
      <c r="L94" s="14"/>
      <c r="M94" s="15"/>
    </row>
    <row r="95" spans="2:13" x14ac:dyDescent="0.25">
      <c r="B95" s="61"/>
      <c r="C95" s="14"/>
      <c r="D95" s="77"/>
      <c r="E95" s="78"/>
      <c r="F95" s="78"/>
      <c r="G95" s="65"/>
      <c r="H95" s="65" t="str">
        <f t="shared" si="1"/>
        <v/>
      </c>
      <c r="I95" s="14"/>
      <c r="J95" s="14"/>
      <c r="K95" s="14"/>
      <c r="L95" s="14"/>
      <c r="M95" s="15"/>
    </row>
    <row r="96" spans="2:13" x14ac:dyDescent="0.25">
      <c r="B96" s="61"/>
      <c r="C96" s="14"/>
      <c r="D96" s="77"/>
      <c r="E96" s="78"/>
      <c r="F96" s="78"/>
      <c r="G96" s="65"/>
      <c r="H96" s="65" t="str">
        <f t="shared" si="1"/>
        <v/>
      </c>
      <c r="I96" s="14"/>
      <c r="J96" s="14"/>
      <c r="K96" s="14"/>
      <c r="L96" s="14"/>
      <c r="M96" s="15"/>
    </row>
    <row r="97" spans="2:13" x14ac:dyDescent="0.25">
      <c r="B97" s="61"/>
      <c r="C97" s="14"/>
      <c r="D97" s="77"/>
      <c r="E97" s="78"/>
      <c r="F97" s="78"/>
      <c r="G97" s="65"/>
      <c r="H97" s="65" t="str">
        <f t="shared" si="1"/>
        <v/>
      </c>
      <c r="I97" s="14"/>
      <c r="J97" s="14"/>
      <c r="K97" s="14"/>
      <c r="L97" s="14"/>
      <c r="M97" s="15"/>
    </row>
    <row r="98" spans="2:13" x14ac:dyDescent="0.25">
      <c r="B98" s="61"/>
      <c r="C98" s="14"/>
      <c r="D98" s="77"/>
      <c r="E98" s="78"/>
      <c r="F98" s="78"/>
      <c r="G98" s="65"/>
      <c r="H98" s="65" t="str">
        <f t="shared" si="1"/>
        <v/>
      </c>
      <c r="I98" s="14"/>
      <c r="J98" s="14"/>
      <c r="K98" s="14"/>
      <c r="L98" s="14"/>
      <c r="M98" s="15"/>
    </row>
    <row r="99" spans="2:13" x14ac:dyDescent="0.25">
      <c r="B99" s="61"/>
      <c r="C99" s="14"/>
      <c r="D99" s="77"/>
      <c r="E99" s="78"/>
      <c r="F99" s="78"/>
      <c r="G99" s="65"/>
      <c r="H99" s="65" t="str">
        <f t="shared" si="1"/>
        <v/>
      </c>
      <c r="I99" s="14"/>
      <c r="J99" s="14"/>
      <c r="K99" s="14"/>
      <c r="L99" s="14"/>
      <c r="M99" s="15"/>
    </row>
    <row r="100" spans="2:13" x14ac:dyDescent="0.25">
      <c r="B100" s="61"/>
      <c r="C100" s="14"/>
      <c r="D100" s="77"/>
      <c r="E100" s="78"/>
      <c r="F100" s="78"/>
      <c r="G100" s="65"/>
      <c r="H100" s="65" t="str">
        <f t="shared" si="1"/>
        <v/>
      </c>
      <c r="I100" s="14"/>
      <c r="J100" s="14"/>
      <c r="K100" s="14"/>
      <c r="L100" s="14"/>
      <c r="M100" s="15"/>
    </row>
    <row r="101" spans="2:13" x14ac:dyDescent="0.25">
      <c r="B101" s="61"/>
      <c r="C101" s="14"/>
      <c r="D101" s="77"/>
      <c r="E101" s="78"/>
      <c r="F101" s="78"/>
      <c r="G101" s="65"/>
      <c r="H101" s="65" t="str">
        <f t="shared" si="1"/>
        <v/>
      </c>
      <c r="I101" s="14"/>
      <c r="J101" s="14"/>
      <c r="K101" s="14"/>
      <c r="L101" s="14"/>
      <c r="M101" s="15"/>
    </row>
    <row r="102" spans="2:13" x14ac:dyDescent="0.25">
      <c r="B102" s="61"/>
      <c r="C102" s="14"/>
      <c r="D102" s="77"/>
      <c r="E102" s="78"/>
      <c r="F102" s="78"/>
      <c r="G102" s="65"/>
      <c r="H102" s="65" t="str">
        <f t="shared" si="1"/>
        <v/>
      </c>
      <c r="I102" s="14"/>
      <c r="J102" s="14"/>
      <c r="K102" s="14"/>
      <c r="L102" s="14"/>
      <c r="M102" s="15"/>
    </row>
    <row r="103" spans="2:13" x14ac:dyDescent="0.25">
      <c r="B103" s="61"/>
      <c r="C103" s="14"/>
      <c r="D103" s="77"/>
      <c r="E103" s="78"/>
      <c r="F103" s="78"/>
      <c r="G103" s="65"/>
      <c r="H103" s="65" t="str">
        <f t="shared" si="1"/>
        <v/>
      </c>
      <c r="I103" s="14"/>
      <c r="J103" s="14"/>
      <c r="K103" s="14"/>
      <c r="L103" s="14"/>
      <c r="M103" s="15"/>
    </row>
    <row r="104" spans="2:13" x14ac:dyDescent="0.25">
      <c r="B104" s="61"/>
      <c r="C104" s="14"/>
      <c r="D104" s="77"/>
      <c r="E104" s="78"/>
      <c r="F104" s="78"/>
      <c r="G104" s="65"/>
      <c r="H104" s="65" t="str">
        <f t="shared" si="1"/>
        <v/>
      </c>
      <c r="I104" s="14"/>
      <c r="J104" s="14"/>
      <c r="K104" s="14"/>
      <c r="L104" s="14"/>
      <c r="M104" s="15"/>
    </row>
    <row r="105" spans="2:13" x14ac:dyDescent="0.25">
      <c r="B105" s="61"/>
      <c r="C105" s="14"/>
      <c r="D105" s="77"/>
      <c r="E105" s="78"/>
      <c r="F105" s="78"/>
      <c r="G105" s="65"/>
      <c r="H105" s="65" t="str">
        <f t="shared" si="1"/>
        <v/>
      </c>
      <c r="I105" s="14"/>
      <c r="J105" s="14"/>
      <c r="K105" s="14"/>
      <c r="L105" s="14"/>
      <c r="M105" s="15"/>
    </row>
    <row r="106" spans="2:13" x14ac:dyDescent="0.25">
      <c r="B106" s="61"/>
      <c r="C106" s="14"/>
      <c r="D106" s="77"/>
      <c r="E106" s="78"/>
      <c r="F106" s="78"/>
      <c r="G106" s="65"/>
      <c r="H106" s="65" t="str">
        <f t="shared" si="1"/>
        <v/>
      </c>
      <c r="I106" s="14"/>
      <c r="J106" s="14"/>
      <c r="K106" s="14"/>
      <c r="L106" s="14"/>
      <c r="M106" s="15"/>
    </row>
    <row r="107" spans="2:13" x14ac:dyDescent="0.25">
      <c r="B107" s="61"/>
      <c r="C107" s="14"/>
      <c r="D107" s="77"/>
      <c r="E107" s="78"/>
      <c r="F107" s="78"/>
      <c r="G107" s="65"/>
      <c r="H107" s="65" t="str">
        <f t="shared" si="1"/>
        <v/>
      </c>
      <c r="I107" s="14"/>
      <c r="J107" s="14"/>
      <c r="K107" s="14"/>
      <c r="L107" s="14"/>
      <c r="M107" s="15"/>
    </row>
    <row r="108" spans="2:13" x14ac:dyDescent="0.25">
      <c r="B108" s="61"/>
      <c r="C108" s="14"/>
      <c r="D108" s="77"/>
      <c r="E108" s="78"/>
      <c r="F108" s="78"/>
      <c r="G108" s="65"/>
      <c r="H108" s="65" t="str">
        <f t="shared" si="1"/>
        <v/>
      </c>
      <c r="I108" s="14"/>
      <c r="J108" s="14"/>
      <c r="K108" s="14"/>
      <c r="L108" s="14"/>
      <c r="M108" s="15"/>
    </row>
    <row r="109" spans="2:13" x14ac:dyDescent="0.25">
      <c r="B109" s="61"/>
      <c r="C109" s="14"/>
      <c r="D109" s="77"/>
      <c r="E109" s="78"/>
      <c r="F109" s="78"/>
      <c r="G109" s="65"/>
      <c r="H109" s="65" t="str">
        <f t="shared" si="1"/>
        <v/>
      </c>
      <c r="I109" s="14"/>
      <c r="J109" s="14"/>
      <c r="K109" s="14"/>
      <c r="L109" s="14"/>
      <c r="M109" s="15"/>
    </row>
    <row r="110" spans="2:13" x14ac:dyDescent="0.25">
      <c r="B110" s="61"/>
      <c r="C110" s="14"/>
      <c r="D110" s="77"/>
      <c r="E110" s="78"/>
      <c r="F110" s="78"/>
      <c r="G110" s="65"/>
      <c r="H110" s="65" t="str">
        <f t="shared" si="1"/>
        <v/>
      </c>
      <c r="I110" s="14"/>
      <c r="J110" s="14"/>
      <c r="K110" s="14"/>
      <c r="L110" s="14"/>
      <c r="M110" s="15"/>
    </row>
    <row r="111" spans="2:13" x14ac:dyDescent="0.25">
      <c r="B111" s="61"/>
      <c r="C111" s="14"/>
      <c r="D111" s="77"/>
      <c r="E111" s="78"/>
      <c r="F111" s="78"/>
      <c r="G111" s="65"/>
      <c r="H111" s="65" t="str">
        <f t="shared" si="1"/>
        <v/>
      </c>
      <c r="I111" s="14"/>
      <c r="J111" s="14"/>
      <c r="K111" s="14"/>
      <c r="L111" s="14"/>
      <c r="M111" s="15"/>
    </row>
    <row r="112" spans="2:13" x14ac:dyDescent="0.25">
      <c r="B112" s="61"/>
      <c r="C112" s="14"/>
      <c r="D112" s="77"/>
      <c r="E112" s="78"/>
      <c r="F112" s="78"/>
      <c r="G112" s="65"/>
      <c r="H112" s="65" t="str">
        <f t="shared" si="1"/>
        <v/>
      </c>
      <c r="I112" s="14"/>
      <c r="J112" s="14"/>
      <c r="K112" s="14"/>
      <c r="L112" s="14"/>
      <c r="M112" s="15"/>
    </row>
    <row r="113" spans="2:13" x14ac:dyDescent="0.25">
      <c r="B113" s="61"/>
      <c r="C113" s="14"/>
      <c r="D113" s="77"/>
      <c r="E113" s="78"/>
      <c r="F113" s="78"/>
      <c r="G113" s="65"/>
      <c r="H113" s="65" t="str">
        <f t="shared" si="1"/>
        <v/>
      </c>
      <c r="I113" s="14"/>
      <c r="J113" s="14"/>
      <c r="K113" s="14"/>
      <c r="L113" s="14"/>
      <c r="M113" s="15"/>
    </row>
    <row r="114" spans="2:13" x14ac:dyDescent="0.25">
      <c r="B114" s="61"/>
      <c r="C114" s="14"/>
      <c r="D114" s="77"/>
      <c r="E114" s="78"/>
      <c r="F114" s="78"/>
      <c r="G114" s="65"/>
      <c r="H114" s="65" t="str">
        <f t="shared" si="1"/>
        <v/>
      </c>
      <c r="I114" s="14"/>
      <c r="J114" s="14"/>
      <c r="K114" s="14"/>
      <c r="L114" s="14"/>
      <c r="M114" s="15"/>
    </row>
    <row r="115" spans="2:13" x14ac:dyDescent="0.25">
      <c r="B115" s="61"/>
      <c r="C115" s="14"/>
      <c r="D115" s="77"/>
      <c r="E115" s="78"/>
      <c r="F115" s="78"/>
      <c r="G115" s="65"/>
      <c r="H115" s="65" t="str">
        <f t="shared" si="1"/>
        <v/>
      </c>
      <c r="I115" s="14"/>
      <c r="J115" s="14"/>
      <c r="K115" s="14"/>
      <c r="L115" s="14"/>
      <c r="M115" s="15"/>
    </row>
    <row r="116" spans="2:13" x14ac:dyDescent="0.25">
      <c r="B116" s="61"/>
      <c r="C116" s="14"/>
      <c r="D116" s="77"/>
      <c r="E116" s="78"/>
      <c r="F116" s="78"/>
      <c r="G116" s="65"/>
      <c r="H116" s="65" t="str">
        <f t="shared" si="1"/>
        <v/>
      </c>
      <c r="I116" s="14"/>
      <c r="J116" s="14"/>
      <c r="K116" s="14"/>
      <c r="L116" s="14"/>
      <c r="M116" s="15"/>
    </row>
    <row r="117" spans="2:13" x14ac:dyDescent="0.25">
      <c r="B117" s="61"/>
      <c r="C117" s="14"/>
      <c r="D117" s="77"/>
      <c r="E117" s="78"/>
      <c r="F117" s="78"/>
      <c r="G117" s="65"/>
      <c r="H117" s="65" t="str">
        <f t="shared" si="1"/>
        <v/>
      </c>
      <c r="I117" s="14"/>
      <c r="J117" s="14"/>
      <c r="K117" s="14"/>
      <c r="L117" s="14"/>
      <c r="M117" s="15"/>
    </row>
    <row r="118" spans="2:13" x14ac:dyDescent="0.25">
      <c r="B118" s="61"/>
      <c r="C118" s="14"/>
      <c r="D118" s="77"/>
      <c r="E118" s="78"/>
      <c r="F118" s="78"/>
      <c r="G118" s="65"/>
      <c r="H118" s="65" t="str">
        <f t="shared" si="1"/>
        <v/>
      </c>
      <c r="I118" s="14"/>
      <c r="J118" s="14"/>
      <c r="K118" s="14"/>
      <c r="L118" s="14"/>
      <c r="M118" s="15"/>
    </row>
    <row r="119" spans="2:13" x14ac:dyDescent="0.25">
      <c r="B119" s="61"/>
      <c r="C119" s="14"/>
      <c r="D119" s="77"/>
      <c r="E119" s="78"/>
      <c r="F119" s="78"/>
      <c r="G119" s="65"/>
      <c r="H119" s="65" t="str">
        <f t="shared" si="1"/>
        <v/>
      </c>
      <c r="I119" s="14"/>
      <c r="J119" s="14"/>
      <c r="K119" s="14"/>
      <c r="L119" s="14"/>
      <c r="M119" s="15"/>
    </row>
    <row r="120" spans="2:13" x14ac:dyDescent="0.25">
      <c r="B120" s="61"/>
      <c r="C120" s="14"/>
      <c r="D120" s="77"/>
      <c r="E120" s="78"/>
      <c r="F120" s="78"/>
      <c r="G120" s="65"/>
      <c r="H120" s="65" t="str">
        <f t="shared" si="1"/>
        <v/>
      </c>
      <c r="I120" s="14"/>
      <c r="J120" s="14"/>
      <c r="K120" s="14"/>
      <c r="L120" s="14"/>
      <c r="M120" s="15"/>
    </row>
    <row r="121" spans="2:13" x14ac:dyDescent="0.25">
      <c r="B121" s="61"/>
      <c r="C121" s="14"/>
      <c r="D121" s="77"/>
      <c r="E121" s="78"/>
      <c r="F121" s="78"/>
      <c r="G121" s="65"/>
      <c r="H121" s="65" t="str">
        <f t="shared" si="1"/>
        <v/>
      </c>
      <c r="I121" s="14"/>
      <c r="J121" s="14"/>
      <c r="K121" s="14"/>
      <c r="L121" s="14"/>
      <c r="M121" s="15"/>
    </row>
    <row r="122" spans="2:13" x14ac:dyDescent="0.25">
      <c r="B122" s="61"/>
      <c r="C122" s="14"/>
      <c r="D122" s="77"/>
      <c r="E122" s="78"/>
      <c r="F122" s="78"/>
      <c r="G122" s="65"/>
      <c r="H122" s="65" t="str">
        <f t="shared" si="1"/>
        <v/>
      </c>
      <c r="I122" s="14"/>
      <c r="J122" s="14"/>
      <c r="K122" s="14"/>
      <c r="L122" s="14"/>
      <c r="M122" s="15"/>
    </row>
    <row r="123" spans="2:13" x14ac:dyDescent="0.25">
      <c r="B123" s="61"/>
      <c r="C123" s="14"/>
      <c r="D123" s="77"/>
      <c r="E123" s="78"/>
      <c r="F123" s="78"/>
      <c r="G123" s="65"/>
      <c r="H123" s="65" t="str">
        <f t="shared" si="1"/>
        <v/>
      </c>
      <c r="I123" s="14"/>
      <c r="J123" s="14"/>
      <c r="K123" s="14"/>
      <c r="L123" s="14"/>
      <c r="M123" s="15"/>
    </row>
    <row r="124" spans="2:13" x14ac:dyDescent="0.25">
      <c r="B124" s="61"/>
      <c r="C124" s="14"/>
      <c r="D124" s="77"/>
      <c r="E124" s="78"/>
      <c r="F124" s="78"/>
      <c r="G124" s="65"/>
      <c r="H124" s="65" t="str">
        <f t="shared" si="1"/>
        <v/>
      </c>
      <c r="I124" s="14"/>
      <c r="J124" s="14"/>
      <c r="K124" s="14"/>
      <c r="L124" s="14"/>
      <c r="M124" s="15"/>
    </row>
    <row r="125" spans="2:13" x14ac:dyDescent="0.25">
      <c r="B125" s="61"/>
      <c r="C125" s="14"/>
      <c r="D125" s="77"/>
      <c r="E125" s="78"/>
      <c r="F125" s="78"/>
      <c r="G125" s="65"/>
      <c r="H125" s="65" t="str">
        <f t="shared" si="1"/>
        <v/>
      </c>
      <c r="I125" s="14"/>
      <c r="J125" s="14"/>
      <c r="K125" s="14"/>
      <c r="L125" s="14"/>
      <c r="M125" s="15"/>
    </row>
    <row r="126" spans="2:13" x14ac:dyDescent="0.25">
      <c r="B126" s="61"/>
      <c r="C126" s="14"/>
      <c r="D126" s="77"/>
      <c r="E126" s="78"/>
      <c r="F126" s="78"/>
      <c r="G126" s="65"/>
      <c r="H126" s="65" t="str">
        <f t="shared" si="1"/>
        <v/>
      </c>
      <c r="I126" s="14"/>
      <c r="J126" s="14"/>
      <c r="K126" s="14"/>
      <c r="L126" s="14"/>
      <c r="M126" s="15"/>
    </row>
    <row r="127" spans="2:13" x14ac:dyDescent="0.25">
      <c r="B127" s="61"/>
      <c r="C127" s="14"/>
      <c r="D127" s="77"/>
      <c r="E127" s="78"/>
      <c r="F127" s="78"/>
      <c r="G127" s="65"/>
      <c r="H127" s="65" t="str">
        <f t="shared" si="1"/>
        <v/>
      </c>
      <c r="I127" s="14"/>
      <c r="J127" s="14"/>
      <c r="K127" s="14"/>
      <c r="L127" s="14"/>
      <c r="M127" s="15"/>
    </row>
    <row r="128" spans="2:13" x14ac:dyDescent="0.25">
      <c r="B128" s="61"/>
      <c r="C128" s="14"/>
      <c r="D128" s="77"/>
      <c r="E128" s="78"/>
      <c r="F128" s="78"/>
      <c r="G128" s="65"/>
      <c r="H128" s="65" t="str">
        <f t="shared" si="1"/>
        <v/>
      </c>
      <c r="I128" s="14"/>
      <c r="J128" s="14"/>
      <c r="K128" s="14"/>
      <c r="L128" s="14"/>
      <c r="M128" s="15"/>
    </row>
    <row r="129" spans="2:13" x14ac:dyDescent="0.25">
      <c r="B129" s="61"/>
      <c r="C129" s="14"/>
      <c r="D129" s="77"/>
      <c r="E129" s="78"/>
      <c r="F129" s="78"/>
      <c r="G129" s="65"/>
      <c r="H129" s="65" t="str">
        <f t="shared" si="1"/>
        <v/>
      </c>
      <c r="I129" s="14"/>
      <c r="J129" s="14"/>
      <c r="K129" s="14"/>
      <c r="L129" s="14"/>
      <c r="M129" s="15"/>
    </row>
    <row r="130" spans="2:13" x14ac:dyDescent="0.25">
      <c r="B130" s="61"/>
      <c r="C130" s="14"/>
      <c r="D130" s="77"/>
      <c r="E130" s="78"/>
      <c r="F130" s="78"/>
      <c r="G130" s="65"/>
      <c r="H130" s="65" t="str">
        <f t="shared" si="1"/>
        <v/>
      </c>
      <c r="I130" s="14"/>
      <c r="J130" s="14"/>
      <c r="K130" s="14"/>
      <c r="L130" s="14"/>
      <c r="M130" s="15"/>
    </row>
    <row r="131" spans="2:13" x14ac:dyDescent="0.25">
      <c r="B131" s="61"/>
      <c r="C131" s="14"/>
      <c r="D131" s="77"/>
      <c r="E131" s="78"/>
      <c r="F131" s="78"/>
      <c r="G131" s="65"/>
      <c r="H131" s="65" t="str">
        <f t="shared" si="1"/>
        <v/>
      </c>
      <c r="I131" s="14"/>
      <c r="J131" s="14"/>
      <c r="K131" s="14"/>
      <c r="L131" s="14"/>
      <c r="M131" s="15"/>
    </row>
    <row r="132" spans="2:13" x14ac:dyDescent="0.25">
      <c r="B132" s="61"/>
      <c r="C132" s="14"/>
      <c r="D132" s="77"/>
      <c r="E132" s="78"/>
      <c r="F132" s="78"/>
      <c r="G132" s="65"/>
      <c r="H132" s="65" t="str">
        <f t="shared" si="1"/>
        <v/>
      </c>
      <c r="I132" s="14"/>
      <c r="J132" s="14"/>
      <c r="K132" s="14"/>
      <c r="L132" s="14"/>
      <c r="M132" s="15"/>
    </row>
    <row r="133" spans="2:13" x14ac:dyDescent="0.25">
      <c r="B133" s="61"/>
      <c r="C133" s="14"/>
      <c r="D133" s="77"/>
      <c r="E133" s="78"/>
      <c r="F133" s="78"/>
      <c r="G133" s="65"/>
      <c r="H133" s="65" t="str">
        <f t="shared" si="1"/>
        <v/>
      </c>
      <c r="I133" s="14"/>
      <c r="J133" s="14"/>
      <c r="K133" s="14"/>
      <c r="L133" s="14"/>
      <c r="M133" s="15"/>
    </row>
    <row r="134" spans="2:13" x14ac:dyDescent="0.25">
      <c r="B134" s="61"/>
      <c r="C134" s="14"/>
      <c r="D134" s="77"/>
      <c r="E134" s="78"/>
      <c r="F134" s="78"/>
      <c r="G134" s="65"/>
      <c r="H134" s="65" t="str">
        <f t="shared" si="1"/>
        <v/>
      </c>
      <c r="I134" s="14"/>
      <c r="J134" s="14"/>
      <c r="K134" s="14"/>
      <c r="L134" s="14"/>
      <c r="M134" s="15"/>
    </row>
    <row r="135" spans="2:13" x14ac:dyDescent="0.25">
      <c r="B135" s="61"/>
      <c r="C135" s="14"/>
      <c r="D135" s="77"/>
      <c r="E135" s="78"/>
      <c r="F135" s="78"/>
      <c r="G135" s="65"/>
      <c r="H135" s="65" t="str">
        <f t="shared" si="1"/>
        <v/>
      </c>
      <c r="I135" s="14"/>
      <c r="J135" s="14"/>
      <c r="K135" s="14"/>
      <c r="L135" s="14"/>
      <c r="M135" s="15"/>
    </row>
    <row r="136" spans="2:13" x14ac:dyDescent="0.25">
      <c r="B136" s="61"/>
      <c r="C136" s="14"/>
      <c r="D136" s="77"/>
      <c r="E136" s="78"/>
      <c r="F136" s="78"/>
      <c r="G136" s="65"/>
      <c r="H136" s="65" t="str">
        <f t="shared" si="1"/>
        <v/>
      </c>
      <c r="I136" s="14"/>
      <c r="J136" s="14"/>
      <c r="K136" s="14"/>
      <c r="L136" s="14"/>
      <c r="M136" s="15"/>
    </row>
    <row r="137" spans="2:13" x14ac:dyDescent="0.25">
      <c r="B137" s="61"/>
      <c r="C137" s="14"/>
      <c r="D137" s="77"/>
      <c r="E137" s="78"/>
      <c r="F137" s="78"/>
      <c r="G137" s="65"/>
      <c r="H137" s="65" t="str">
        <f t="shared" si="1"/>
        <v/>
      </c>
      <c r="I137" s="14"/>
      <c r="J137" s="14"/>
      <c r="K137" s="14"/>
      <c r="L137" s="14"/>
      <c r="M137" s="15"/>
    </row>
    <row r="138" spans="2:13" x14ac:dyDescent="0.25">
      <c r="B138" s="61"/>
      <c r="C138" s="14"/>
      <c r="D138" s="77"/>
      <c r="E138" s="78"/>
      <c r="F138" s="78"/>
      <c r="G138" s="65"/>
      <c r="H138" s="65" t="str">
        <f t="shared" si="1"/>
        <v/>
      </c>
      <c r="I138" s="14"/>
      <c r="J138" s="14"/>
      <c r="K138" s="14"/>
      <c r="L138" s="14"/>
      <c r="M138" s="15"/>
    </row>
    <row r="139" spans="2:13" x14ac:dyDescent="0.25">
      <c r="B139" s="61"/>
      <c r="C139" s="14"/>
      <c r="D139" s="77"/>
      <c r="E139" s="78"/>
      <c r="F139" s="78"/>
      <c r="G139" s="65"/>
      <c r="H139" s="65" t="str">
        <f t="shared" si="1"/>
        <v/>
      </c>
      <c r="I139" s="14"/>
      <c r="J139" s="14"/>
      <c r="K139" s="14"/>
      <c r="L139" s="14"/>
      <c r="M139" s="15"/>
    </row>
    <row r="140" spans="2:13" x14ac:dyDescent="0.25">
      <c r="B140" s="61"/>
      <c r="C140" s="14"/>
      <c r="D140" s="77"/>
      <c r="E140" s="78"/>
      <c r="F140" s="78"/>
      <c r="G140" s="65"/>
      <c r="H140" s="65" t="str">
        <f t="shared" si="1"/>
        <v/>
      </c>
      <c r="I140" s="14"/>
      <c r="J140" s="14"/>
      <c r="K140" s="14"/>
      <c r="L140" s="14"/>
      <c r="M140" s="15"/>
    </row>
    <row r="141" spans="2:13" x14ac:dyDescent="0.25">
      <c r="B141" s="61"/>
      <c r="C141" s="14"/>
      <c r="D141" s="77"/>
      <c r="E141" s="78"/>
      <c r="F141" s="78"/>
      <c r="G141" s="65"/>
      <c r="H141" s="65" t="str">
        <f t="shared" si="1"/>
        <v/>
      </c>
      <c r="I141" s="14"/>
      <c r="J141" s="14"/>
      <c r="K141" s="14"/>
      <c r="L141" s="14"/>
      <c r="M141" s="15"/>
    </row>
    <row r="142" spans="2:13" x14ac:dyDescent="0.25">
      <c r="B142" s="61"/>
      <c r="C142" s="14"/>
      <c r="D142" s="77"/>
      <c r="E142" s="78"/>
      <c r="F142" s="78"/>
      <c r="G142" s="65"/>
      <c r="H142" s="65" t="str">
        <f t="shared" si="1"/>
        <v/>
      </c>
      <c r="I142" s="14"/>
      <c r="J142" s="14"/>
      <c r="K142" s="14"/>
      <c r="L142" s="14"/>
      <c r="M142" s="15"/>
    </row>
    <row r="143" spans="2:13" x14ac:dyDescent="0.25">
      <c r="B143" s="61"/>
      <c r="C143" s="14"/>
      <c r="D143" s="77"/>
      <c r="E143" s="78"/>
      <c r="F143" s="78"/>
      <c r="G143" s="65"/>
      <c r="H143" s="65" t="str">
        <f t="shared" si="1"/>
        <v/>
      </c>
      <c r="I143" s="14"/>
      <c r="J143" s="14"/>
      <c r="K143" s="14"/>
      <c r="L143" s="14"/>
      <c r="M143" s="15"/>
    </row>
    <row r="144" spans="2:13" x14ac:dyDescent="0.25">
      <c r="B144" s="61"/>
      <c r="C144" s="14"/>
      <c r="D144" s="77"/>
      <c r="E144" s="78"/>
      <c r="F144" s="78"/>
      <c r="G144" s="65"/>
      <c r="H144" s="65" t="str">
        <f t="shared" si="1"/>
        <v/>
      </c>
      <c r="I144" s="14"/>
      <c r="J144" s="14"/>
      <c r="K144" s="14"/>
      <c r="L144" s="14"/>
      <c r="M144" s="15"/>
    </row>
    <row r="145" spans="2:13" x14ac:dyDescent="0.25">
      <c r="B145" s="61"/>
      <c r="C145" s="14"/>
      <c r="D145" s="77"/>
      <c r="E145" s="78"/>
      <c r="F145" s="78"/>
      <c r="G145" s="65"/>
      <c r="H145" s="65" t="str">
        <f t="shared" si="1"/>
        <v/>
      </c>
      <c r="I145" s="14"/>
      <c r="J145" s="14"/>
      <c r="K145" s="14"/>
      <c r="L145" s="14"/>
      <c r="M145" s="15"/>
    </row>
    <row r="146" spans="2:13" x14ac:dyDescent="0.25">
      <c r="B146" s="61"/>
      <c r="C146" s="14"/>
      <c r="D146" s="77"/>
      <c r="E146" s="78"/>
      <c r="F146" s="78"/>
      <c r="G146" s="65"/>
      <c r="H146" s="65" t="str">
        <f t="shared" si="1"/>
        <v/>
      </c>
      <c r="I146" s="14"/>
      <c r="J146" s="14"/>
      <c r="K146" s="14"/>
      <c r="L146" s="14"/>
      <c r="M146" s="15"/>
    </row>
    <row r="147" spans="2:13" x14ac:dyDescent="0.25">
      <c r="B147" s="61"/>
      <c r="C147" s="14"/>
      <c r="D147" s="77"/>
      <c r="E147" s="78"/>
      <c r="F147" s="78"/>
      <c r="G147" s="65"/>
      <c r="H147" s="65" t="str">
        <f t="shared" si="1"/>
        <v/>
      </c>
      <c r="I147" s="14"/>
      <c r="J147" s="14"/>
      <c r="K147" s="14"/>
      <c r="L147" s="14"/>
      <c r="M147" s="15"/>
    </row>
    <row r="148" spans="2:13" x14ac:dyDescent="0.25">
      <c r="B148" s="61"/>
      <c r="C148" s="14"/>
      <c r="D148" s="77"/>
      <c r="E148" s="78"/>
      <c r="F148" s="78"/>
      <c r="G148" s="65"/>
      <c r="H148" s="65" t="str">
        <f t="shared" si="1"/>
        <v/>
      </c>
      <c r="I148" s="14"/>
      <c r="J148" s="14"/>
      <c r="K148" s="14"/>
      <c r="L148" s="14"/>
      <c r="M148" s="15"/>
    </row>
    <row r="149" spans="2:13" x14ac:dyDescent="0.25">
      <c r="B149" s="61"/>
      <c r="C149" s="14"/>
      <c r="D149" s="77"/>
      <c r="E149" s="78"/>
      <c r="F149" s="78"/>
      <c r="G149" s="65"/>
      <c r="H149" s="65" t="str">
        <f t="shared" si="1"/>
        <v/>
      </c>
      <c r="I149" s="14"/>
      <c r="J149" s="14"/>
      <c r="K149" s="14"/>
      <c r="L149" s="14"/>
      <c r="M149" s="15"/>
    </row>
    <row r="150" spans="2:13" x14ac:dyDescent="0.25">
      <c r="B150" s="61"/>
      <c r="C150" s="14"/>
      <c r="D150" s="77"/>
      <c r="E150" s="78"/>
      <c r="F150" s="78"/>
      <c r="G150" s="65"/>
      <c r="H150" s="65" t="str">
        <f t="shared" si="1"/>
        <v/>
      </c>
      <c r="I150" s="14"/>
      <c r="J150" s="14"/>
      <c r="K150" s="14"/>
      <c r="L150" s="14"/>
      <c r="M150" s="15"/>
    </row>
    <row r="151" spans="2:13" x14ac:dyDescent="0.25">
      <c r="B151" s="61"/>
      <c r="C151" s="14"/>
      <c r="D151" s="77"/>
      <c r="E151" s="78"/>
      <c r="F151" s="78"/>
      <c r="G151" s="65"/>
      <c r="H151" s="65" t="str">
        <f t="shared" si="1"/>
        <v/>
      </c>
      <c r="I151" s="14"/>
      <c r="J151" s="14"/>
      <c r="K151" s="14"/>
      <c r="L151" s="14"/>
      <c r="M151" s="15"/>
    </row>
    <row r="152" spans="2:13" x14ac:dyDescent="0.25">
      <c r="B152" s="61"/>
      <c r="C152" s="14"/>
      <c r="D152" s="77"/>
      <c r="E152" s="78"/>
      <c r="F152" s="78"/>
      <c r="G152" s="65"/>
      <c r="H152" s="65" t="str">
        <f t="shared" si="1"/>
        <v/>
      </c>
      <c r="I152" s="14"/>
      <c r="J152" s="14"/>
      <c r="K152" s="14"/>
      <c r="L152" s="14"/>
      <c r="M152" s="15"/>
    </row>
    <row r="153" spans="2:13" x14ac:dyDescent="0.25">
      <c r="B153" s="61"/>
      <c r="C153" s="14"/>
      <c r="D153" s="77"/>
      <c r="E153" s="78"/>
      <c r="F153" s="78"/>
      <c r="G153" s="65"/>
      <c r="H153" s="65" t="str">
        <f t="shared" si="1"/>
        <v/>
      </c>
      <c r="I153" s="14"/>
      <c r="J153" s="14"/>
      <c r="K153" s="14"/>
      <c r="L153" s="14"/>
      <c r="M153" s="15"/>
    </row>
    <row r="154" spans="2:13" x14ac:dyDescent="0.25">
      <c r="B154" s="61"/>
      <c r="C154" s="14"/>
      <c r="D154" s="77"/>
      <c r="E154" s="78"/>
      <c r="F154" s="78"/>
      <c r="G154" s="65"/>
      <c r="H154" s="65" t="str">
        <f t="shared" ref="H154:H217" si="2">IF(AND(F154&lt;&gt;"",E154&lt;&gt;"",G154&lt;&gt;""),AND(F154=G154,G154=ROUND(E154,4)),"")</f>
        <v/>
      </c>
      <c r="I154" s="14"/>
      <c r="J154" s="14"/>
      <c r="K154" s="14"/>
      <c r="L154" s="14"/>
      <c r="M154" s="15"/>
    </row>
    <row r="155" spans="2:13" x14ac:dyDescent="0.25">
      <c r="B155" s="61"/>
      <c r="C155" s="14"/>
      <c r="D155" s="77"/>
      <c r="E155" s="78"/>
      <c r="F155" s="78"/>
      <c r="G155" s="65"/>
      <c r="H155" s="65" t="str">
        <f t="shared" si="2"/>
        <v/>
      </c>
      <c r="I155" s="14"/>
      <c r="J155" s="14"/>
      <c r="K155" s="14"/>
      <c r="L155" s="14"/>
      <c r="M155" s="15"/>
    </row>
    <row r="156" spans="2:13" x14ac:dyDescent="0.25">
      <c r="B156" s="61"/>
      <c r="C156" s="14"/>
      <c r="D156" s="77"/>
      <c r="E156" s="78"/>
      <c r="F156" s="78"/>
      <c r="G156" s="65"/>
      <c r="H156" s="65" t="str">
        <f t="shared" si="2"/>
        <v/>
      </c>
      <c r="I156" s="14"/>
      <c r="J156" s="14"/>
      <c r="K156" s="14"/>
      <c r="L156" s="14"/>
      <c r="M156" s="15"/>
    </row>
    <row r="157" spans="2:13" x14ac:dyDescent="0.25">
      <c r="B157" s="61"/>
      <c r="C157" s="14"/>
      <c r="D157" s="77"/>
      <c r="E157" s="78"/>
      <c r="F157" s="78"/>
      <c r="G157" s="65"/>
      <c r="H157" s="65" t="str">
        <f t="shared" si="2"/>
        <v/>
      </c>
      <c r="I157" s="14"/>
      <c r="J157" s="14"/>
      <c r="K157" s="14"/>
      <c r="L157" s="14"/>
      <c r="M157" s="15"/>
    </row>
    <row r="158" spans="2:13" x14ac:dyDescent="0.25">
      <c r="B158" s="61"/>
      <c r="C158" s="14"/>
      <c r="D158" s="77"/>
      <c r="E158" s="78"/>
      <c r="F158" s="78"/>
      <c r="G158" s="65"/>
      <c r="H158" s="65" t="str">
        <f t="shared" si="2"/>
        <v/>
      </c>
      <c r="I158" s="14"/>
      <c r="J158" s="14"/>
      <c r="K158" s="14"/>
      <c r="L158" s="14"/>
      <c r="M158" s="15"/>
    </row>
    <row r="159" spans="2:13" x14ac:dyDescent="0.25">
      <c r="B159" s="61"/>
      <c r="C159" s="14"/>
      <c r="D159" s="77"/>
      <c r="E159" s="78"/>
      <c r="F159" s="78"/>
      <c r="G159" s="65"/>
      <c r="H159" s="65" t="str">
        <f t="shared" si="2"/>
        <v/>
      </c>
      <c r="I159" s="14"/>
      <c r="J159" s="14"/>
      <c r="K159" s="14"/>
      <c r="L159" s="14"/>
      <c r="M159" s="15"/>
    </row>
    <row r="160" spans="2:13" x14ac:dyDescent="0.25">
      <c r="B160" s="61"/>
      <c r="C160" s="14"/>
      <c r="D160" s="77"/>
      <c r="E160" s="78"/>
      <c r="F160" s="78"/>
      <c r="G160" s="65"/>
      <c r="H160" s="65" t="str">
        <f t="shared" si="2"/>
        <v/>
      </c>
      <c r="I160" s="14"/>
      <c r="J160" s="14"/>
      <c r="K160" s="14"/>
      <c r="L160" s="14"/>
      <c r="M160" s="15"/>
    </row>
    <row r="161" spans="2:13" x14ac:dyDescent="0.25">
      <c r="B161" s="61"/>
      <c r="C161" s="14"/>
      <c r="D161" s="77"/>
      <c r="E161" s="78"/>
      <c r="F161" s="78"/>
      <c r="G161" s="65"/>
      <c r="H161" s="65" t="str">
        <f t="shared" si="2"/>
        <v/>
      </c>
      <c r="I161" s="14"/>
      <c r="J161" s="14"/>
      <c r="K161" s="14"/>
      <c r="L161" s="14"/>
      <c r="M161" s="15"/>
    </row>
    <row r="162" spans="2:13" x14ac:dyDescent="0.25">
      <c r="B162" s="61"/>
      <c r="C162" s="14"/>
      <c r="D162" s="77"/>
      <c r="E162" s="78"/>
      <c r="F162" s="78"/>
      <c r="G162" s="65"/>
      <c r="H162" s="65" t="str">
        <f t="shared" si="2"/>
        <v/>
      </c>
      <c r="I162" s="14"/>
      <c r="J162" s="14"/>
      <c r="K162" s="14"/>
      <c r="L162" s="14"/>
      <c r="M162" s="15"/>
    </row>
    <row r="163" spans="2:13" x14ac:dyDescent="0.25">
      <c r="B163" s="61"/>
      <c r="C163" s="14"/>
      <c r="D163" s="77"/>
      <c r="E163" s="78"/>
      <c r="F163" s="78"/>
      <c r="G163" s="65"/>
      <c r="H163" s="65" t="str">
        <f t="shared" si="2"/>
        <v/>
      </c>
      <c r="I163" s="14"/>
      <c r="J163" s="14"/>
      <c r="K163" s="14"/>
      <c r="L163" s="14"/>
      <c r="M163" s="15"/>
    </row>
    <row r="164" spans="2:13" x14ac:dyDescent="0.25">
      <c r="B164" s="61"/>
      <c r="C164" s="14"/>
      <c r="D164" s="77"/>
      <c r="E164" s="78"/>
      <c r="F164" s="78"/>
      <c r="G164" s="65"/>
      <c r="H164" s="65" t="str">
        <f t="shared" si="2"/>
        <v/>
      </c>
      <c r="I164" s="14"/>
      <c r="J164" s="14"/>
      <c r="K164" s="14"/>
      <c r="L164" s="14"/>
      <c r="M164" s="15"/>
    </row>
    <row r="165" spans="2:13" x14ac:dyDescent="0.25">
      <c r="B165" s="61"/>
      <c r="C165" s="14"/>
      <c r="D165" s="77"/>
      <c r="E165" s="78"/>
      <c r="F165" s="78"/>
      <c r="G165" s="65"/>
      <c r="H165" s="65" t="str">
        <f t="shared" si="2"/>
        <v/>
      </c>
      <c r="I165" s="14"/>
      <c r="J165" s="14"/>
      <c r="K165" s="14"/>
      <c r="L165" s="14"/>
      <c r="M165" s="15"/>
    </row>
    <row r="166" spans="2:13" x14ac:dyDescent="0.25">
      <c r="B166" s="61"/>
      <c r="C166" s="14"/>
      <c r="D166" s="77"/>
      <c r="E166" s="78"/>
      <c r="F166" s="78"/>
      <c r="G166" s="65"/>
      <c r="H166" s="65" t="str">
        <f t="shared" si="2"/>
        <v/>
      </c>
      <c r="I166" s="14"/>
      <c r="J166" s="14"/>
      <c r="K166" s="14"/>
      <c r="L166" s="14"/>
      <c r="M166" s="15"/>
    </row>
    <row r="167" spans="2:13" x14ac:dyDescent="0.25">
      <c r="B167" s="61"/>
      <c r="C167" s="14"/>
      <c r="D167" s="77"/>
      <c r="E167" s="78"/>
      <c r="F167" s="78"/>
      <c r="G167" s="65"/>
      <c r="H167" s="65" t="str">
        <f t="shared" si="2"/>
        <v/>
      </c>
      <c r="I167" s="14"/>
      <c r="J167" s="14"/>
      <c r="K167" s="14"/>
      <c r="L167" s="14"/>
      <c r="M167" s="15"/>
    </row>
    <row r="168" spans="2:13" x14ac:dyDescent="0.25">
      <c r="B168" s="61"/>
      <c r="C168" s="14"/>
      <c r="D168" s="77"/>
      <c r="E168" s="78"/>
      <c r="F168" s="78"/>
      <c r="G168" s="65"/>
      <c r="H168" s="65" t="str">
        <f t="shared" si="2"/>
        <v/>
      </c>
      <c r="I168" s="14"/>
      <c r="J168" s="14"/>
      <c r="K168" s="14"/>
      <c r="L168" s="14"/>
      <c r="M168" s="15"/>
    </row>
    <row r="169" spans="2:13" x14ac:dyDescent="0.25">
      <c r="B169" s="61"/>
      <c r="C169" s="14"/>
      <c r="D169" s="77"/>
      <c r="E169" s="78"/>
      <c r="F169" s="78"/>
      <c r="G169" s="65"/>
      <c r="H169" s="65" t="str">
        <f t="shared" si="2"/>
        <v/>
      </c>
      <c r="I169" s="14"/>
      <c r="J169" s="14"/>
      <c r="K169" s="14"/>
      <c r="L169" s="14"/>
      <c r="M169" s="15"/>
    </row>
    <row r="170" spans="2:13" x14ac:dyDescent="0.25">
      <c r="B170" s="61"/>
      <c r="C170" s="14"/>
      <c r="D170" s="77"/>
      <c r="E170" s="78"/>
      <c r="F170" s="78"/>
      <c r="G170" s="65"/>
      <c r="H170" s="65" t="str">
        <f t="shared" si="2"/>
        <v/>
      </c>
      <c r="I170" s="14"/>
      <c r="J170" s="14"/>
      <c r="K170" s="14"/>
      <c r="L170" s="14"/>
      <c r="M170" s="15"/>
    </row>
    <row r="171" spans="2:13" x14ac:dyDescent="0.25">
      <c r="B171" s="61"/>
      <c r="C171" s="14"/>
      <c r="D171" s="77"/>
      <c r="E171" s="78"/>
      <c r="F171" s="78"/>
      <c r="G171" s="65"/>
      <c r="H171" s="65" t="str">
        <f t="shared" si="2"/>
        <v/>
      </c>
      <c r="I171" s="14"/>
      <c r="J171" s="14"/>
      <c r="K171" s="14"/>
      <c r="L171" s="14"/>
      <c r="M171" s="15"/>
    </row>
    <row r="172" spans="2:13" x14ac:dyDescent="0.25">
      <c r="B172" s="61"/>
      <c r="C172" s="14"/>
      <c r="D172" s="77"/>
      <c r="E172" s="78"/>
      <c r="F172" s="78"/>
      <c r="G172" s="65"/>
      <c r="H172" s="65" t="str">
        <f t="shared" si="2"/>
        <v/>
      </c>
      <c r="I172" s="14"/>
      <c r="J172" s="14"/>
      <c r="K172" s="14"/>
      <c r="L172" s="14"/>
      <c r="M172" s="15"/>
    </row>
    <row r="173" spans="2:13" x14ac:dyDescent="0.25">
      <c r="B173" s="61"/>
      <c r="C173" s="14"/>
      <c r="D173" s="77"/>
      <c r="E173" s="78"/>
      <c r="F173" s="78"/>
      <c r="G173" s="65"/>
      <c r="H173" s="65" t="str">
        <f t="shared" si="2"/>
        <v/>
      </c>
      <c r="I173" s="14"/>
      <c r="J173" s="14"/>
      <c r="K173" s="14"/>
      <c r="L173" s="14"/>
      <c r="M173" s="15"/>
    </row>
    <row r="174" spans="2:13" x14ac:dyDescent="0.25">
      <c r="B174" s="61"/>
      <c r="C174" s="14"/>
      <c r="D174" s="77"/>
      <c r="E174" s="78"/>
      <c r="F174" s="78"/>
      <c r="G174" s="65"/>
      <c r="H174" s="65" t="str">
        <f t="shared" si="2"/>
        <v/>
      </c>
      <c r="I174" s="14"/>
      <c r="J174" s="14"/>
      <c r="K174" s="14"/>
      <c r="L174" s="14"/>
      <c r="M174" s="15"/>
    </row>
    <row r="175" spans="2:13" x14ac:dyDescent="0.25">
      <c r="B175" s="61"/>
      <c r="C175" s="14"/>
      <c r="D175" s="77"/>
      <c r="E175" s="78"/>
      <c r="F175" s="78"/>
      <c r="G175" s="65"/>
      <c r="H175" s="65" t="str">
        <f t="shared" si="2"/>
        <v/>
      </c>
      <c r="I175" s="14"/>
      <c r="J175" s="14"/>
      <c r="K175" s="14"/>
      <c r="L175" s="14"/>
      <c r="M175" s="15"/>
    </row>
    <row r="176" spans="2:13" x14ac:dyDescent="0.25">
      <c r="B176" s="61"/>
      <c r="C176" s="14"/>
      <c r="D176" s="77"/>
      <c r="E176" s="78"/>
      <c r="F176" s="78"/>
      <c r="G176" s="65"/>
      <c r="H176" s="65" t="str">
        <f t="shared" si="2"/>
        <v/>
      </c>
      <c r="I176" s="14"/>
      <c r="J176" s="14"/>
      <c r="K176" s="14"/>
      <c r="L176" s="14"/>
      <c r="M176" s="15"/>
    </row>
    <row r="177" spans="2:13" x14ac:dyDescent="0.25">
      <c r="B177" s="61"/>
      <c r="C177" s="14"/>
      <c r="D177" s="77"/>
      <c r="E177" s="78"/>
      <c r="F177" s="78"/>
      <c r="G177" s="65"/>
      <c r="H177" s="65" t="str">
        <f t="shared" si="2"/>
        <v/>
      </c>
      <c r="I177" s="14"/>
      <c r="J177" s="14"/>
      <c r="K177" s="14"/>
      <c r="L177" s="14"/>
      <c r="M177" s="15"/>
    </row>
    <row r="178" spans="2:13" x14ac:dyDescent="0.25">
      <c r="B178" s="61"/>
      <c r="C178" s="14"/>
      <c r="D178" s="77"/>
      <c r="E178" s="78"/>
      <c r="F178" s="78"/>
      <c r="G178" s="65"/>
      <c r="H178" s="65" t="str">
        <f t="shared" si="2"/>
        <v/>
      </c>
      <c r="I178" s="14"/>
      <c r="J178" s="14"/>
      <c r="K178" s="14"/>
      <c r="L178" s="14"/>
      <c r="M178" s="15"/>
    </row>
    <row r="179" spans="2:13" x14ac:dyDescent="0.25">
      <c r="B179" s="61"/>
      <c r="C179" s="14"/>
      <c r="D179" s="77"/>
      <c r="E179" s="78"/>
      <c r="F179" s="78"/>
      <c r="G179" s="65"/>
      <c r="H179" s="65" t="str">
        <f t="shared" si="2"/>
        <v/>
      </c>
      <c r="I179" s="14"/>
      <c r="J179" s="14"/>
      <c r="K179" s="14"/>
      <c r="L179" s="14"/>
      <c r="M179" s="15"/>
    </row>
    <row r="180" spans="2:13" x14ac:dyDescent="0.25">
      <c r="B180" s="61"/>
      <c r="C180" s="14"/>
      <c r="D180" s="77"/>
      <c r="E180" s="78"/>
      <c r="F180" s="78"/>
      <c r="G180" s="65"/>
      <c r="H180" s="65" t="str">
        <f t="shared" si="2"/>
        <v/>
      </c>
      <c r="I180" s="14"/>
      <c r="J180" s="14"/>
      <c r="K180" s="14"/>
      <c r="L180" s="14"/>
      <c r="M180" s="15"/>
    </row>
    <row r="181" spans="2:13" x14ac:dyDescent="0.25">
      <c r="B181" s="61"/>
      <c r="C181" s="14"/>
      <c r="D181" s="77"/>
      <c r="E181" s="78"/>
      <c r="F181" s="78"/>
      <c r="G181" s="65"/>
      <c r="H181" s="65" t="str">
        <f t="shared" si="2"/>
        <v/>
      </c>
      <c r="I181" s="14"/>
      <c r="J181" s="14"/>
      <c r="K181" s="14"/>
      <c r="L181" s="14"/>
      <c r="M181" s="15"/>
    </row>
    <row r="182" spans="2:13" x14ac:dyDescent="0.25">
      <c r="B182" s="61"/>
      <c r="C182" s="14"/>
      <c r="D182" s="77"/>
      <c r="E182" s="78"/>
      <c r="F182" s="78"/>
      <c r="G182" s="65"/>
      <c r="H182" s="65" t="str">
        <f t="shared" si="2"/>
        <v/>
      </c>
      <c r="I182" s="14"/>
      <c r="J182" s="14"/>
      <c r="K182" s="14"/>
      <c r="L182" s="14"/>
      <c r="M182" s="15"/>
    </row>
    <row r="183" spans="2:13" x14ac:dyDescent="0.25">
      <c r="B183" s="61"/>
      <c r="C183" s="14"/>
      <c r="D183" s="77"/>
      <c r="E183" s="78"/>
      <c r="F183" s="78"/>
      <c r="G183" s="65"/>
      <c r="H183" s="65" t="str">
        <f t="shared" si="2"/>
        <v/>
      </c>
      <c r="I183" s="14"/>
      <c r="J183" s="14"/>
      <c r="K183" s="14"/>
      <c r="L183" s="14"/>
      <c r="M183" s="15"/>
    </row>
    <row r="184" spans="2:13" x14ac:dyDescent="0.25">
      <c r="B184" s="61"/>
      <c r="C184" s="14"/>
      <c r="D184" s="77"/>
      <c r="E184" s="78"/>
      <c r="F184" s="78"/>
      <c r="G184" s="65"/>
      <c r="H184" s="65" t="str">
        <f t="shared" si="2"/>
        <v/>
      </c>
      <c r="I184" s="14"/>
      <c r="J184" s="14"/>
      <c r="K184" s="14"/>
      <c r="L184" s="14"/>
      <c r="M184" s="15"/>
    </row>
    <row r="185" spans="2:13" x14ac:dyDescent="0.25">
      <c r="B185" s="61"/>
      <c r="C185" s="14"/>
      <c r="D185" s="77"/>
      <c r="E185" s="78"/>
      <c r="F185" s="78"/>
      <c r="G185" s="65"/>
      <c r="H185" s="65" t="str">
        <f t="shared" si="2"/>
        <v/>
      </c>
      <c r="I185" s="14"/>
      <c r="J185" s="14"/>
      <c r="K185" s="14"/>
      <c r="L185" s="14"/>
      <c r="M185" s="15"/>
    </row>
    <row r="186" spans="2:13" x14ac:dyDescent="0.25">
      <c r="B186" s="61"/>
      <c r="C186" s="14"/>
      <c r="D186" s="77"/>
      <c r="E186" s="78"/>
      <c r="F186" s="78"/>
      <c r="G186" s="65"/>
      <c r="H186" s="65" t="str">
        <f t="shared" si="2"/>
        <v/>
      </c>
      <c r="I186" s="14"/>
      <c r="J186" s="14"/>
      <c r="K186" s="14"/>
      <c r="L186" s="14"/>
      <c r="M186" s="15"/>
    </row>
    <row r="187" spans="2:13" x14ac:dyDescent="0.25">
      <c r="B187" s="61"/>
      <c r="C187" s="14"/>
      <c r="D187" s="77"/>
      <c r="E187" s="78"/>
      <c r="F187" s="78"/>
      <c r="G187" s="65"/>
      <c r="H187" s="65" t="str">
        <f t="shared" si="2"/>
        <v/>
      </c>
      <c r="I187" s="14"/>
      <c r="J187" s="14"/>
      <c r="K187" s="14"/>
      <c r="L187" s="14"/>
      <c r="M187" s="15"/>
    </row>
    <row r="188" spans="2:13" x14ac:dyDescent="0.25">
      <c r="B188" s="61"/>
      <c r="C188" s="14"/>
      <c r="D188" s="77"/>
      <c r="E188" s="78"/>
      <c r="F188" s="78"/>
      <c r="G188" s="65"/>
      <c r="H188" s="65" t="str">
        <f t="shared" si="2"/>
        <v/>
      </c>
      <c r="I188" s="14"/>
      <c r="J188" s="14"/>
      <c r="K188" s="14"/>
      <c r="L188" s="14"/>
      <c r="M188" s="15"/>
    </row>
    <row r="189" spans="2:13" x14ac:dyDescent="0.25">
      <c r="B189" s="61"/>
      <c r="C189" s="14"/>
      <c r="D189" s="77"/>
      <c r="E189" s="78"/>
      <c r="F189" s="78"/>
      <c r="G189" s="65"/>
      <c r="H189" s="65" t="str">
        <f t="shared" si="2"/>
        <v/>
      </c>
      <c r="I189" s="14"/>
      <c r="J189" s="14"/>
      <c r="K189" s="14"/>
      <c r="L189" s="14"/>
      <c r="M189" s="15"/>
    </row>
    <row r="190" spans="2:13" x14ac:dyDescent="0.25">
      <c r="B190" s="61"/>
      <c r="C190" s="14"/>
      <c r="D190" s="77"/>
      <c r="E190" s="78"/>
      <c r="F190" s="78"/>
      <c r="G190" s="65"/>
      <c r="H190" s="65" t="str">
        <f t="shared" si="2"/>
        <v/>
      </c>
      <c r="I190" s="14"/>
      <c r="J190" s="14"/>
      <c r="K190" s="14"/>
      <c r="L190" s="14"/>
      <c r="M190" s="15"/>
    </row>
    <row r="191" spans="2:13" x14ac:dyDescent="0.25">
      <c r="B191" s="61"/>
      <c r="C191" s="14"/>
      <c r="D191" s="77"/>
      <c r="E191" s="78"/>
      <c r="F191" s="78"/>
      <c r="G191" s="65"/>
      <c r="H191" s="65" t="str">
        <f t="shared" si="2"/>
        <v/>
      </c>
      <c r="I191" s="14"/>
      <c r="J191" s="14"/>
      <c r="K191" s="14"/>
      <c r="L191" s="14"/>
      <c r="M191" s="15"/>
    </row>
    <row r="192" spans="2:13" x14ac:dyDescent="0.25">
      <c r="B192" s="61"/>
      <c r="C192" s="14"/>
      <c r="D192" s="77"/>
      <c r="E192" s="78"/>
      <c r="F192" s="78"/>
      <c r="G192" s="65"/>
      <c r="H192" s="65" t="str">
        <f t="shared" si="2"/>
        <v/>
      </c>
      <c r="I192" s="14"/>
      <c r="J192" s="14"/>
      <c r="K192" s="14"/>
      <c r="L192" s="14"/>
      <c r="M192" s="15"/>
    </row>
    <row r="193" spans="2:13" x14ac:dyDescent="0.25">
      <c r="B193" s="61"/>
      <c r="C193" s="14"/>
      <c r="D193" s="77"/>
      <c r="E193" s="78"/>
      <c r="F193" s="78"/>
      <c r="G193" s="65"/>
      <c r="H193" s="65" t="str">
        <f t="shared" si="2"/>
        <v/>
      </c>
      <c r="I193" s="14"/>
      <c r="J193" s="14"/>
      <c r="K193" s="14"/>
      <c r="L193" s="14"/>
      <c r="M193" s="15"/>
    </row>
    <row r="194" spans="2:13" x14ac:dyDescent="0.25">
      <c r="B194" s="61"/>
      <c r="C194" s="14"/>
      <c r="D194" s="77"/>
      <c r="E194" s="78"/>
      <c r="F194" s="78"/>
      <c r="G194" s="65"/>
      <c r="H194" s="65" t="str">
        <f t="shared" si="2"/>
        <v/>
      </c>
      <c r="I194" s="14"/>
      <c r="J194" s="14"/>
      <c r="K194" s="14"/>
      <c r="L194" s="14"/>
      <c r="M194" s="15"/>
    </row>
    <row r="195" spans="2:13" x14ac:dyDescent="0.25">
      <c r="B195" s="61"/>
      <c r="C195" s="14"/>
      <c r="D195" s="77"/>
      <c r="E195" s="78"/>
      <c r="F195" s="78"/>
      <c r="G195" s="65"/>
      <c r="H195" s="65" t="str">
        <f t="shared" si="2"/>
        <v/>
      </c>
      <c r="I195" s="14"/>
      <c r="J195" s="14"/>
      <c r="K195" s="14"/>
      <c r="L195" s="14"/>
      <c r="M195" s="15"/>
    </row>
    <row r="196" spans="2:13" x14ac:dyDescent="0.25">
      <c r="B196" s="61"/>
      <c r="C196" s="14"/>
      <c r="D196" s="77"/>
      <c r="E196" s="78"/>
      <c r="F196" s="78"/>
      <c r="G196" s="65"/>
      <c r="H196" s="65" t="str">
        <f t="shared" si="2"/>
        <v/>
      </c>
      <c r="I196" s="14"/>
      <c r="J196" s="14"/>
      <c r="K196" s="14"/>
      <c r="L196" s="14"/>
      <c r="M196" s="15"/>
    </row>
    <row r="197" spans="2:13" x14ac:dyDescent="0.25">
      <c r="B197" s="61"/>
      <c r="C197" s="14"/>
      <c r="D197" s="77"/>
      <c r="E197" s="78"/>
      <c r="F197" s="78"/>
      <c r="G197" s="65"/>
      <c r="H197" s="65" t="str">
        <f t="shared" si="2"/>
        <v/>
      </c>
      <c r="I197" s="14"/>
      <c r="J197" s="14"/>
      <c r="K197" s="14"/>
      <c r="L197" s="14"/>
      <c r="M197" s="15"/>
    </row>
    <row r="198" spans="2:13" x14ac:dyDescent="0.25">
      <c r="B198" s="61"/>
      <c r="C198" s="14"/>
      <c r="D198" s="77"/>
      <c r="E198" s="78"/>
      <c r="F198" s="78"/>
      <c r="G198" s="65"/>
      <c r="H198" s="65" t="str">
        <f t="shared" si="2"/>
        <v/>
      </c>
      <c r="I198" s="14"/>
      <c r="J198" s="14"/>
      <c r="K198" s="14"/>
      <c r="L198" s="14"/>
      <c r="M198" s="15"/>
    </row>
    <row r="199" spans="2:13" x14ac:dyDescent="0.25">
      <c r="B199" s="61"/>
      <c r="C199" s="14"/>
      <c r="D199" s="77"/>
      <c r="E199" s="78"/>
      <c r="F199" s="78"/>
      <c r="G199" s="65"/>
      <c r="H199" s="65" t="str">
        <f t="shared" si="2"/>
        <v/>
      </c>
      <c r="I199" s="14"/>
      <c r="J199" s="14"/>
      <c r="K199" s="14"/>
      <c r="L199" s="14"/>
      <c r="M199" s="15"/>
    </row>
    <row r="200" spans="2:13" x14ac:dyDescent="0.25">
      <c r="B200" s="61"/>
      <c r="C200" s="14"/>
      <c r="D200" s="77"/>
      <c r="E200" s="78"/>
      <c r="F200" s="78"/>
      <c r="G200" s="65"/>
      <c r="H200" s="65" t="str">
        <f t="shared" si="2"/>
        <v/>
      </c>
      <c r="I200" s="14"/>
      <c r="J200" s="14"/>
      <c r="K200" s="14"/>
      <c r="L200" s="14"/>
      <c r="M200" s="15"/>
    </row>
    <row r="201" spans="2:13" x14ac:dyDescent="0.25">
      <c r="B201" s="61"/>
      <c r="C201" s="14"/>
      <c r="D201" s="77"/>
      <c r="E201" s="78"/>
      <c r="F201" s="78"/>
      <c r="G201" s="65"/>
      <c r="H201" s="65" t="str">
        <f t="shared" si="2"/>
        <v/>
      </c>
      <c r="I201" s="14"/>
      <c r="J201" s="14"/>
      <c r="K201" s="14"/>
      <c r="L201" s="14"/>
      <c r="M201" s="15"/>
    </row>
    <row r="202" spans="2:13" x14ac:dyDescent="0.25">
      <c r="B202" s="61"/>
      <c r="C202" s="14"/>
      <c r="D202" s="77"/>
      <c r="E202" s="78"/>
      <c r="F202" s="78"/>
      <c r="G202" s="65"/>
      <c r="H202" s="65" t="str">
        <f t="shared" si="2"/>
        <v/>
      </c>
      <c r="I202" s="14"/>
      <c r="J202" s="14"/>
      <c r="K202" s="14"/>
      <c r="L202" s="14"/>
      <c r="M202" s="15"/>
    </row>
    <row r="203" spans="2:13" x14ac:dyDescent="0.25">
      <c r="B203" s="61"/>
      <c r="C203" s="14"/>
      <c r="D203" s="77"/>
      <c r="E203" s="78"/>
      <c r="F203" s="78"/>
      <c r="G203" s="65"/>
      <c r="H203" s="65" t="str">
        <f t="shared" si="2"/>
        <v/>
      </c>
      <c r="I203" s="14"/>
      <c r="J203" s="14"/>
      <c r="K203" s="14"/>
      <c r="L203" s="14"/>
      <c r="M203" s="15"/>
    </row>
    <row r="204" spans="2:13" x14ac:dyDescent="0.25">
      <c r="B204" s="61"/>
      <c r="C204" s="14"/>
      <c r="D204" s="77"/>
      <c r="E204" s="78"/>
      <c r="F204" s="78"/>
      <c r="G204" s="65"/>
      <c r="H204" s="65" t="str">
        <f t="shared" si="2"/>
        <v/>
      </c>
      <c r="I204" s="14"/>
      <c r="J204" s="14"/>
      <c r="K204" s="14"/>
      <c r="L204" s="14"/>
      <c r="M204" s="15"/>
    </row>
    <row r="205" spans="2:13" x14ac:dyDescent="0.25">
      <c r="B205" s="61"/>
      <c r="C205" s="14"/>
      <c r="D205" s="77"/>
      <c r="E205" s="78"/>
      <c r="F205" s="78"/>
      <c r="G205" s="65"/>
      <c r="H205" s="65" t="str">
        <f t="shared" si="2"/>
        <v/>
      </c>
      <c r="I205" s="14"/>
      <c r="J205" s="14"/>
      <c r="K205" s="14"/>
      <c r="L205" s="14"/>
      <c r="M205" s="15"/>
    </row>
    <row r="206" spans="2:13" x14ac:dyDescent="0.25">
      <c r="B206" s="61"/>
      <c r="C206" s="14"/>
      <c r="D206" s="77"/>
      <c r="E206" s="78"/>
      <c r="F206" s="78"/>
      <c r="G206" s="65"/>
      <c r="H206" s="65" t="str">
        <f t="shared" si="2"/>
        <v/>
      </c>
      <c r="I206" s="14"/>
      <c r="J206" s="14"/>
      <c r="K206" s="14"/>
      <c r="L206" s="14"/>
      <c r="M206" s="15"/>
    </row>
    <row r="207" spans="2:13" x14ac:dyDescent="0.25">
      <c r="B207" s="61"/>
      <c r="C207" s="14"/>
      <c r="D207" s="77"/>
      <c r="E207" s="78"/>
      <c r="F207" s="78"/>
      <c r="G207" s="65"/>
      <c r="H207" s="65" t="str">
        <f t="shared" si="2"/>
        <v/>
      </c>
      <c r="I207" s="14"/>
      <c r="J207" s="14"/>
      <c r="K207" s="14"/>
      <c r="L207" s="14"/>
      <c r="M207" s="15"/>
    </row>
    <row r="208" spans="2:13" x14ac:dyDescent="0.25">
      <c r="B208" s="61"/>
      <c r="C208" s="14"/>
      <c r="D208" s="77"/>
      <c r="E208" s="78"/>
      <c r="F208" s="78"/>
      <c r="G208" s="65"/>
      <c r="H208" s="65" t="str">
        <f t="shared" si="2"/>
        <v/>
      </c>
      <c r="I208" s="14"/>
      <c r="J208" s="14"/>
      <c r="K208" s="14"/>
      <c r="L208" s="14"/>
      <c r="M208" s="15"/>
    </row>
    <row r="209" spans="2:13" x14ac:dyDescent="0.25">
      <c r="B209" s="61"/>
      <c r="C209" s="14"/>
      <c r="D209" s="77"/>
      <c r="E209" s="78"/>
      <c r="F209" s="78"/>
      <c r="G209" s="65"/>
      <c r="H209" s="65" t="str">
        <f t="shared" si="2"/>
        <v/>
      </c>
      <c r="I209" s="14"/>
      <c r="J209" s="14"/>
      <c r="K209" s="14"/>
      <c r="L209" s="14"/>
      <c r="M209" s="15"/>
    </row>
    <row r="210" spans="2:13" x14ac:dyDescent="0.25">
      <c r="B210" s="61"/>
      <c r="C210" s="14"/>
      <c r="D210" s="77"/>
      <c r="E210" s="78"/>
      <c r="F210" s="78"/>
      <c r="G210" s="65"/>
      <c r="H210" s="65" t="str">
        <f t="shared" si="2"/>
        <v/>
      </c>
      <c r="I210" s="14"/>
      <c r="J210" s="14"/>
      <c r="K210" s="14"/>
      <c r="L210" s="14"/>
      <c r="M210" s="15"/>
    </row>
    <row r="211" spans="2:13" x14ac:dyDescent="0.25">
      <c r="B211" s="61"/>
      <c r="C211" s="14"/>
      <c r="D211" s="77"/>
      <c r="E211" s="78"/>
      <c r="F211" s="78"/>
      <c r="G211" s="65"/>
      <c r="H211" s="65" t="str">
        <f t="shared" si="2"/>
        <v/>
      </c>
      <c r="I211" s="14"/>
      <c r="J211" s="14"/>
      <c r="K211" s="14"/>
      <c r="L211" s="14"/>
      <c r="M211" s="15"/>
    </row>
    <row r="212" spans="2:13" x14ac:dyDescent="0.25">
      <c r="B212" s="61"/>
      <c r="C212" s="14"/>
      <c r="D212" s="77"/>
      <c r="E212" s="78"/>
      <c r="F212" s="78"/>
      <c r="G212" s="65"/>
      <c r="H212" s="65" t="str">
        <f t="shared" si="2"/>
        <v/>
      </c>
      <c r="I212" s="14"/>
      <c r="J212" s="14"/>
      <c r="K212" s="14"/>
      <c r="L212" s="14"/>
      <c r="M212" s="15"/>
    </row>
    <row r="213" spans="2:13" x14ac:dyDescent="0.25">
      <c r="B213" s="61"/>
      <c r="C213" s="14"/>
      <c r="D213" s="77"/>
      <c r="E213" s="78"/>
      <c r="F213" s="78"/>
      <c r="G213" s="65"/>
      <c r="H213" s="65" t="str">
        <f t="shared" si="2"/>
        <v/>
      </c>
      <c r="I213" s="14"/>
      <c r="J213" s="14"/>
      <c r="K213" s="14"/>
      <c r="L213" s="14"/>
      <c r="M213" s="15"/>
    </row>
    <row r="214" spans="2:13" x14ac:dyDescent="0.25">
      <c r="B214" s="61"/>
      <c r="C214" s="14"/>
      <c r="D214" s="77"/>
      <c r="E214" s="78"/>
      <c r="F214" s="78"/>
      <c r="G214" s="65"/>
      <c r="H214" s="65" t="str">
        <f t="shared" si="2"/>
        <v/>
      </c>
      <c r="I214" s="14"/>
      <c r="J214" s="14"/>
      <c r="K214" s="14"/>
      <c r="L214" s="14"/>
      <c r="M214" s="15"/>
    </row>
    <row r="215" spans="2:13" x14ac:dyDescent="0.25">
      <c r="B215" s="61"/>
      <c r="C215" s="14"/>
      <c r="D215" s="77"/>
      <c r="E215" s="78"/>
      <c r="F215" s="78"/>
      <c r="G215" s="65"/>
      <c r="H215" s="65" t="str">
        <f t="shared" si="2"/>
        <v/>
      </c>
      <c r="I215" s="14"/>
      <c r="J215" s="14"/>
      <c r="K215" s="14"/>
      <c r="L215" s="14"/>
      <c r="M215" s="15"/>
    </row>
    <row r="216" spans="2:13" x14ac:dyDescent="0.25">
      <c r="B216" s="61"/>
      <c r="C216" s="14"/>
      <c r="D216" s="77"/>
      <c r="E216" s="78"/>
      <c r="F216" s="78"/>
      <c r="G216" s="65"/>
      <c r="H216" s="65" t="str">
        <f t="shared" si="2"/>
        <v/>
      </c>
      <c r="I216" s="14"/>
      <c r="J216" s="14"/>
      <c r="K216" s="14"/>
      <c r="L216" s="14"/>
      <c r="M216" s="15"/>
    </row>
    <row r="217" spans="2:13" x14ac:dyDescent="0.25">
      <c r="B217" s="61"/>
      <c r="C217" s="14"/>
      <c r="D217" s="77"/>
      <c r="E217" s="78"/>
      <c r="F217" s="78"/>
      <c r="G217" s="65"/>
      <c r="H217" s="65" t="str">
        <f t="shared" si="2"/>
        <v/>
      </c>
      <c r="I217" s="14"/>
      <c r="J217" s="14"/>
      <c r="K217" s="14"/>
      <c r="L217" s="14"/>
      <c r="M217" s="15"/>
    </row>
    <row r="218" spans="2:13" x14ac:dyDescent="0.25">
      <c r="B218" s="61"/>
      <c r="C218" s="14"/>
      <c r="D218" s="77"/>
      <c r="E218" s="78"/>
      <c r="F218" s="78"/>
      <c r="G218" s="65"/>
      <c r="H218" s="65" t="str">
        <f t="shared" ref="H218:H281" si="3">IF(AND(F218&lt;&gt;"",E218&lt;&gt;"",G218&lt;&gt;""),AND(F218=G218,G218=ROUND(E218,4)),"")</f>
        <v/>
      </c>
      <c r="I218" s="14"/>
      <c r="J218" s="14"/>
      <c r="K218" s="14"/>
      <c r="L218" s="14"/>
      <c r="M218" s="15"/>
    </row>
    <row r="219" spans="2:13" x14ac:dyDescent="0.25">
      <c r="B219" s="61"/>
      <c r="C219" s="14"/>
      <c r="D219" s="77"/>
      <c r="E219" s="78"/>
      <c r="F219" s="78"/>
      <c r="G219" s="65"/>
      <c r="H219" s="65" t="str">
        <f t="shared" si="3"/>
        <v/>
      </c>
      <c r="I219" s="14"/>
      <c r="J219" s="14"/>
      <c r="K219" s="14"/>
      <c r="L219" s="14"/>
      <c r="M219" s="15"/>
    </row>
    <row r="220" spans="2:13" x14ac:dyDescent="0.25">
      <c r="B220" s="61"/>
      <c r="C220" s="14"/>
      <c r="D220" s="77"/>
      <c r="E220" s="78"/>
      <c r="F220" s="78"/>
      <c r="G220" s="65"/>
      <c r="H220" s="65" t="str">
        <f t="shared" si="3"/>
        <v/>
      </c>
      <c r="I220" s="14"/>
      <c r="J220" s="14"/>
      <c r="K220" s="14"/>
      <c r="L220" s="14"/>
      <c r="M220" s="15"/>
    </row>
    <row r="221" spans="2:13" x14ac:dyDescent="0.25">
      <c r="B221" s="61"/>
      <c r="C221" s="14"/>
      <c r="D221" s="77"/>
      <c r="E221" s="78"/>
      <c r="F221" s="78"/>
      <c r="G221" s="65"/>
      <c r="H221" s="65" t="str">
        <f t="shared" si="3"/>
        <v/>
      </c>
      <c r="I221" s="14"/>
      <c r="J221" s="14"/>
      <c r="K221" s="14"/>
      <c r="L221" s="14"/>
      <c r="M221" s="15"/>
    </row>
    <row r="222" spans="2:13" x14ac:dyDescent="0.25">
      <c r="B222" s="61"/>
      <c r="C222" s="14"/>
      <c r="D222" s="77"/>
      <c r="E222" s="78"/>
      <c r="F222" s="78"/>
      <c r="G222" s="65"/>
      <c r="H222" s="65" t="str">
        <f t="shared" si="3"/>
        <v/>
      </c>
      <c r="I222" s="14"/>
      <c r="J222" s="14"/>
      <c r="K222" s="14"/>
      <c r="L222" s="14"/>
      <c r="M222" s="15"/>
    </row>
    <row r="223" spans="2:13" x14ac:dyDescent="0.25">
      <c r="B223" s="61"/>
      <c r="C223" s="14"/>
      <c r="D223" s="77"/>
      <c r="E223" s="78"/>
      <c r="F223" s="78"/>
      <c r="G223" s="65"/>
      <c r="H223" s="65" t="str">
        <f t="shared" si="3"/>
        <v/>
      </c>
      <c r="I223" s="14"/>
      <c r="J223" s="14"/>
      <c r="K223" s="14"/>
      <c r="L223" s="14"/>
      <c r="M223" s="15"/>
    </row>
    <row r="224" spans="2:13" x14ac:dyDescent="0.25">
      <c r="B224" s="61"/>
      <c r="C224" s="14"/>
      <c r="D224" s="77"/>
      <c r="E224" s="78"/>
      <c r="F224" s="78"/>
      <c r="G224" s="65"/>
      <c r="H224" s="65" t="str">
        <f t="shared" si="3"/>
        <v/>
      </c>
      <c r="I224" s="14"/>
      <c r="J224" s="14"/>
      <c r="K224" s="14"/>
      <c r="L224" s="14"/>
      <c r="M224" s="15"/>
    </row>
    <row r="225" spans="2:13" x14ac:dyDescent="0.25">
      <c r="B225" s="61"/>
      <c r="C225" s="14"/>
      <c r="D225" s="77"/>
      <c r="E225" s="78"/>
      <c r="F225" s="78"/>
      <c r="G225" s="65"/>
      <c r="H225" s="65" t="str">
        <f t="shared" si="3"/>
        <v/>
      </c>
      <c r="I225" s="14"/>
      <c r="J225" s="14"/>
      <c r="K225" s="14"/>
      <c r="L225" s="14"/>
      <c r="M225" s="15"/>
    </row>
    <row r="226" spans="2:13" x14ac:dyDescent="0.25">
      <c r="B226" s="61"/>
      <c r="C226" s="14"/>
      <c r="D226" s="77"/>
      <c r="E226" s="78"/>
      <c r="F226" s="78"/>
      <c r="G226" s="65"/>
      <c r="H226" s="65" t="str">
        <f t="shared" si="3"/>
        <v/>
      </c>
      <c r="I226" s="14"/>
      <c r="J226" s="14"/>
      <c r="K226" s="14"/>
      <c r="L226" s="14"/>
      <c r="M226" s="15"/>
    </row>
    <row r="227" spans="2:13" x14ac:dyDescent="0.25">
      <c r="B227" s="61"/>
      <c r="C227" s="14"/>
      <c r="D227" s="77"/>
      <c r="E227" s="78"/>
      <c r="F227" s="78"/>
      <c r="G227" s="65"/>
      <c r="H227" s="65" t="str">
        <f t="shared" si="3"/>
        <v/>
      </c>
      <c r="I227" s="14"/>
      <c r="J227" s="14"/>
      <c r="K227" s="14"/>
      <c r="L227" s="14"/>
      <c r="M227" s="15"/>
    </row>
    <row r="228" spans="2:13" x14ac:dyDescent="0.25">
      <c r="B228" s="61"/>
      <c r="C228" s="14"/>
      <c r="D228" s="77"/>
      <c r="E228" s="78"/>
      <c r="F228" s="78"/>
      <c r="G228" s="65"/>
      <c r="H228" s="65" t="str">
        <f t="shared" si="3"/>
        <v/>
      </c>
      <c r="I228" s="14"/>
      <c r="J228" s="14"/>
      <c r="K228" s="14"/>
      <c r="L228" s="14"/>
      <c r="M228" s="15"/>
    </row>
    <row r="229" spans="2:13" x14ac:dyDescent="0.25">
      <c r="B229" s="61"/>
      <c r="C229" s="14"/>
      <c r="D229" s="77"/>
      <c r="E229" s="78"/>
      <c r="F229" s="78"/>
      <c r="G229" s="65"/>
      <c r="H229" s="65" t="str">
        <f t="shared" si="3"/>
        <v/>
      </c>
      <c r="I229" s="14"/>
      <c r="J229" s="14"/>
      <c r="K229" s="14"/>
      <c r="L229" s="14"/>
      <c r="M229" s="15"/>
    </row>
    <row r="230" spans="2:13" x14ac:dyDescent="0.25">
      <c r="B230" s="61"/>
      <c r="C230" s="14"/>
      <c r="D230" s="77"/>
      <c r="E230" s="78"/>
      <c r="F230" s="78"/>
      <c r="G230" s="65"/>
      <c r="H230" s="65" t="str">
        <f t="shared" si="3"/>
        <v/>
      </c>
      <c r="I230" s="14"/>
      <c r="J230" s="14"/>
      <c r="K230" s="14"/>
      <c r="L230" s="14"/>
      <c r="M230" s="15"/>
    </row>
    <row r="231" spans="2:13" x14ac:dyDescent="0.25">
      <c r="B231" s="61"/>
      <c r="C231" s="14"/>
      <c r="D231" s="77"/>
      <c r="E231" s="78"/>
      <c r="F231" s="78"/>
      <c r="G231" s="65"/>
      <c r="H231" s="65" t="str">
        <f t="shared" si="3"/>
        <v/>
      </c>
      <c r="I231" s="14"/>
      <c r="J231" s="14"/>
      <c r="K231" s="14"/>
      <c r="L231" s="14"/>
      <c r="M231" s="15"/>
    </row>
    <row r="232" spans="2:13" x14ac:dyDescent="0.25">
      <c r="B232" s="61"/>
      <c r="C232" s="14"/>
      <c r="D232" s="77"/>
      <c r="E232" s="78"/>
      <c r="F232" s="78"/>
      <c r="G232" s="65"/>
      <c r="H232" s="65" t="str">
        <f t="shared" si="3"/>
        <v/>
      </c>
      <c r="I232" s="14"/>
      <c r="J232" s="14"/>
      <c r="K232" s="14"/>
      <c r="L232" s="14"/>
      <c r="M232" s="15"/>
    </row>
    <row r="233" spans="2:13" x14ac:dyDescent="0.25">
      <c r="B233" s="61"/>
      <c r="C233" s="14"/>
      <c r="D233" s="77"/>
      <c r="E233" s="78"/>
      <c r="F233" s="78"/>
      <c r="G233" s="65"/>
      <c r="H233" s="65" t="str">
        <f t="shared" si="3"/>
        <v/>
      </c>
      <c r="I233" s="14"/>
      <c r="J233" s="14"/>
      <c r="K233" s="14"/>
      <c r="L233" s="14"/>
      <c r="M233" s="15"/>
    </row>
    <row r="234" spans="2:13" x14ac:dyDescent="0.25">
      <c r="B234" s="61"/>
      <c r="C234" s="14"/>
      <c r="D234" s="77"/>
      <c r="E234" s="78"/>
      <c r="F234" s="78"/>
      <c r="G234" s="65"/>
      <c r="H234" s="65" t="str">
        <f t="shared" si="3"/>
        <v/>
      </c>
      <c r="I234" s="14"/>
      <c r="J234" s="14"/>
      <c r="K234" s="14"/>
      <c r="L234" s="14"/>
      <c r="M234" s="15"/>
    </row>
    <row r="235" spans="2:13" x14ac:dyDescent="0.25">
      <c r="B235" s="61"/>
      <c r="C235" s="14"/>
      <c r="D235" s="77"/>
      <c r="E235" s="78"/>
      <c r="F235" s="78"/>
      <c r="G235" s="65"/>
      <c r="H235" s="65" t="str">
        <f t="shared" si="3"/>
        <v/>
      </c>
      <c r="I235" s="14"/>
      <c r="J235" s="14"/>
      <c r="K235" s="14"/>
      <c r="L235" s="14"/>
      <c r="M235" s="15"/>
    </row>
    <row r="236" spans="2:13" x14ac:dyDescent="0.25">
      <c r="B236" s="61"/>
      <c r="C236" s="14"/>
      <c r="D236" s="77"/>
      <c r="E236" s="78"/>
      <c r="F236" s="78"/>
      <c r="G236" s="65"/>
      <c r="H236" s="65" t="str">
        <f t="shared" si="3"/>
        <v/>
      </c>
      <c r="I236" s="14"/>
      <c r="J236" s="14"/>
      <c r="K236" s="14"/>
      <c r="L236" s="14"/>
      <c r="M236" s="15"/>
    </row>
    <row r="237" spans="2:13" x14ac:dyDescent="0.25">
      <c r="B237" s="61"/>
      <c r="C237" s="14"/>
      <c r="D237" s="77"/>
      <c r="E237" s="78"/>
      <c r="F237" s="78"/>
      <c r="G237" s="65"/>
      <c r="H237" s="65" t="str">
        <f t="shared" si="3"/>
        <v/>
      </c>
      <c r="I237" s="14"/>
      <c r="J237" s="14"/>
      <c r="K237" s="14"/>
      <c r="L237" s="14"/>
      <c r="M237" s="15"/>
    </row>
    <row r="238" spans="2:13" x14ac:dyDescent="0.25">
      <c r="B238" s="61"/>
      <c r="C238" s="14"/>
      <c r="D238" s="77"/>
      <c r="E238" s="78"/>
      <c r="F238" s="78"/>
      <c r="G238" s="65"/>
      <c r="H238" s="65" t="str">
        <f t="shared" si="3"/>
        <v/>
      </c>
      <c r="I238" s="14"/>
      <c r="J238" s="14"/>
      <c r="K238" s="14"/>
      <c r="L238" s="14"/>
      <c r="M238" s="15"/>
    </row>
    <row r="239" spans="2:13" x14ac:dyDescent="0.25">
      <c r="B239" s="61"/>
      <c r="C239" s="14"/>
      <c r="D239" s="77"/>
      <c r="E239" s="78"/>
      <c r="F239" s="78"/>
      <c r="G239" s="65"/>
      <c r="H239" s="65" t="str">
        <f t="shared" si="3"/>
        <v/>
      </c>
      <c r="I239" s="14"/>
      <c r="J239" s="14"/>
      <c r="K239" s="14"/>
      <c r="L239" s="14"/>
      <c r="M239" s="15"/>
    </row>
    <row r="240" spans="2:13" x14ac:dyDescent="0.25">
      <c r="B240" s="61"/>
      <c r="C240" s="14"/>
      <c r="D240" s="77"/>
      <c r="E240" s="78"/>
      <c r="F240" s="78"/>
      <c r="G240" s="65"/>
      <c r="H240" s="65" t="str">
        <f t="shared" si="3"/>
        <v/>
      </c>
      <c r="I240" s="14"/>
      <c r="J240" s="14"/>
      <c r="K240" s="14"/>
      <c r="L240" s="14"/>
      <c r="M240" s="15"/>
    </row>
    <row r="241" spans="2:13" x14ac:dyDescent="0.25">
      <c r="B241" s="61"/>
      <c r="C241" s="14"/>
      <c r="D241" s="77"/>
      <c r="E241" s="78"/>
      <c r="F241" s="78"/>
      <c r="G241" s="65"/>
      <c r="H241" s="65" t="str">
        <f t="shared" si="3"/>
        <v/>
      </c>
      <c r="I241" s="14"/>
      <c r="J241" s="14"/>
      <c r="K241" s="14"/>
      <c r="L241" s="14"/>
      <c r="M241" s="15"/>
    </row>
    <row r="242" spans="2:13" x14ac:dyDescent="0.25">
      <c r="B242" s="61"/>
      <c r="C242" s="14"/>
      <c r="D242" s="77"/>
      <c r="E242" s="78"/>
      <c r="F242" s="78"/>
      <c r="G242" s="65"/>
      <c r="H242" s="65" t="str">
        <f t="shared" si="3"/>
        <v/>
      </c>
      <c r="I242" s="14"/>
      <c r="J242" s="14"/>
      <c r="K242" s="14"/>
      <c r="L242" s="14"/>
      <c r="M242" s="15"/>
    </row>
    <row r="243" spans="2:13" x14ac:dyDescent="0.25">
      <c r="B243" s="61"/>
      <c r="C243" s="14"/>
      <c r="D243" s="77"/>
      <c r="E243" s="78"/>
      <c r="F243" s="78"/>
      <c r="G243" s="65"/>
      <c r="H243" s="65" t="str">
        <f t="shared" si="3"/>
        <v/>
      </c>
      <c r="I243" s="14"/>
      <c r="J243" s="14"/>
      <c r="K243" s="14"/>
      <c r="L243" s="14"/>
      <c r="M243" s="15"/>
    </row>
    <row r="244" spans="2:13" x14ac:dyDescent="0.25">
      <c r="B244" s="61"/>
      <c r="C244" s="14"/>
      <c r="D244" s="77"/>
      <c r="E244" s="78"/>
      <c r="F244" s="78"/>
      <c r="G244" s="65"/>
      <c r="H244" s="65" t="str">
        <f t="shared" si="3"/>
        <v/>
      </c>
      <c r="I244" s="14"/>
      <c r="J244" s="14"/>
      <c r="K244" s="14"/>
      <c r="L244" s="14"/>
      <c r="M244" s="15"/>
    </row>
    <row r="245" spans="2:13" x14ac:dyDescent="0.25">
      <c r="B245" s="61"/>
      <c r="C245" s="14"/>
      <c r="D245" s="77"/>
      <c r="E245" s="78"/>
      <c r="F245" s="78"/>
      <c r="G245" s="65"/>
      <c r="H245" s="65" t="str">
        <f t="shared" si="3"/>
        <v/>
      </c>
      <c r="I245" s="14"/>
      <c r="J245" s="14"/>
      <c r="K245" s="14"/>
      <c r="L245" s="14"/>
      <c r="M245" s="15"/>
    </row>
    <row r="246" spans="2:13" x14ac:dyDescent="0.25">
      <c r="B246" s="61"/>
      <c r="C246" s="14"/>
      <c r="D246" s="77"/>
      <c r="E246" s="78"/>
      <c r="F246" s="78"/>
      <c r="G246" s="65"/>
      <c r="H246" s="65" t="str">
        <f t="shared" si="3"/>
        <v/>
      </c>
      <c r="I246" s="14"/>
      <c r="J246" s="14"/>
      <c r="K246" s="14"/>
      <c r="L246" s="14"/>
      <c r="M246" s="15"/>
    </row>
    <row r="247" spans="2:13" x14ac:dyDescent="0.25">
      <c r="B247" s="61"/>
      <c r="C247" s="14"/>
      <c r="D247" s="77"/>
      <c r="E247" s="78"/>
      <c r="F247" s="78"/>
      <c r="G247" s="65"/>
      <c r="H247" s="65" t="str">
        <f t="shared" si="3"/>
        <v/>
      </c>
      <c r="I247" s="14"/>
      <c r="J247" s="14"/>
      <c r="K247" s="14"/>
      <c r="L247" s="14"/>
      <c r="M247" s="15"/>
    </row>
    <row r="248" spans="2:13" x14ac:dyDescent="0.25">
      <c r="B248" s="61"/>
      <c r="C248" s="14"/>
      <c r="D248" s="77"/>
      <c r="E248" s="78"/>
      <c r="F248" s="78"/>
      <c r="G248" s="65"/>
      <c r="H248" s="65" t="str">
        <f t="shared" si="3"/>
        <v/>
      </c>
      <c r="I248" s="14"/>
      <c r="J248" s="14"/>
      <c r="K248" s="14"/>
      <c r="L248" s="14"/>
      <c r="M248" s="15"/>
    </row>
    <row r="249" spans="2:13" x14ac:dyDescent="0.25">
      <c r="B249" s="61"/>
      <c r="C249" s="14"/>
      <c r="D249" s="77"/>
      <c r="E249" s="78"/>
      <c r="F249" s="78"/>
      <c r="G249" s="65"/>
      <c r="H249" s="65" t="str">
        <f t="shared" si="3"/>
        <v/>
      </c>
      <c r="I249" s="14"/>
      <c r="J249" s="14"/>
      <c r="K249" s="14"/>
      <c r="L249" s="14"/>
      <c r="M249" s="15"/>
    </row>
    <row r="250" spans="2:13" x14ac:dyDescent="0.25">
      <c r="B250" s="61"/>
      <c r="C250" s="14"/>
      <c r="D250" s="77"/>
      <c r="E250" s="78"/>
      <c r="F250" s="78"/>
      <c r="G250" s="65"/>
      <c r="H250" s="65" t="str">
        <f t="shared" si="3"/>
        <v/>
      </c>
      <c r="I250" s="14"/>
      <c r="J250" s="14"/>
      <c r="K250" s="14"/>
      <c r="L250" s="14"/>
      <c r="M250" s="15"/>
    </row>
    <row r="251" spans="2:13" x14ac:dyDescent="0.25">
      <c r="B251" s="61"/>
      <c r="C251" s="14"/>
      <c r="D251" s="77"/>
      <c r="E251" s="78"/>
      <c r="F251" s="78"/>
      <c r="G251" s="65"/>
      <c r="H251" s="65" t="str">
        <f t="shared" si="3"/>
        <v/>
      </c>
      <c r="I251" s="14"/>
      <c r="J251" s="14"/>
      <c r="K251" s="14"/>
      <c r="L251" s="14"/>
      <c r="M251" s="15"/>
    </row>
    <row r="252" spans="2:13" x14ac:dyDescent="0.25">
      <c r="B252" s="61"/>
      <c r="C252" s="14"/>
      <c r="D252" s="77"/>
      <c r="E252" s="78"/>
      <c r="F252" s="78"/>
      <c r="G252" s="65"/>
      <c r="H252" s="65" t="str">
        <f t="shared" si="3"/>
        <v/>
      </c>
      <c r="I252" s="14"/>
      <c r="J252" s="14"/>
      <c r="K252" s="14"/>
      <c r="L252" s="14"/>
      <c r="M252" s="15"/>
    </row>
    <row r="253" spans="2:13" x14ac:dyDescent="0.25">
      <c r="B253" s="61"/>
      <c r="C253" s="14"/>
      <c r="D253" s="77"/>
      <c r="E253" s="78"/>
      <c r="F253" s="78"/>
      <c r="G253" s="65"/>
      <c r="H253" s="65" t="str">
        <f t="shared" si="3"/>
        <v/>
      </c>
      <c r="I253" s="14"/>
      <c r="J253" s="14"/>
      <c r="K253" s="14"/>
      <c r="L253" s="14"/>
      <c r="M253" s="15"/>
    </row>
    <row r="254" spans="2:13" x14ac:dyDescent="0.25">
      <c r="B254" s="61"/>
      <c r="C254" s="14"/>
      <c r="D254" s="77"/>
      <c r="E254" s="78"/>
      <c r="F254" s="78"/>
      <c r="G254" s="65"/>
      <c r="H254" s="65" t="str">
        <f t="shared" si="3"/>
        <v/>
      </c>
      <c r="I254" s="14"/>
      <c r="J254" s="14"/>
      <c r="K254" s="14"/>
      <c r="L254" s="14"/>
      <c r="M254" s="15"/>
    </row>
    <row r="255" spans="2:13" x14ac:dyDescent="0.25">
      <c r="B255" s="61"/>
      <c r="C255" s="14"/>
      <c r="D255" s="77"/>
      <c r="E255" s="78"/>
      <c r="F255" s="78"/>
      <c r="G255" s="65"/>
      <c r="H255" s="65" t="str">
        <f t="shared" si="3"/>
        <v/>
      </c>
      <c r="I255" s="14"/>
      <c r="J255" s="14"/>
      <c r="K255" s="14"/>
      <c r="L255" s="14"/>
      <c r="M255" s="15"/>
    </row>
    <row r="256" spans="2:13" x14ac:dyDescent="0.25">
      <c r="B256" s="61"/>
      <c r="C256" s="14"/>
      <c r="D256" s="77"/>
      <c r="E256" s="78"/>
      <c r="F256" s="78"/>
      <c r="G256" s="65"/>
      <c r="H256" s="65" t="str">
        <f t="shared" si="3"/>
        <v/>
      </c>
      <c r="I256" s="14"/>
      <c r="J256" s="14"/>
      <c r="K256" s="14"/>
      <c r="L256" s="14"/>
      <c r="M256" s="15"/>
    </row>
    <row r="257" spans="2:13" x14ac:dyDescent="0.25">
      <c r="B257" s="61"/>
      <c r="C257" s="14"/>
      <c r="D257" s="77"/>
      <c r="E257" s="78"/>
      <c r="F257" s="78"/>
      <c r="G257" s="65"/>
      <c r="H257" s="65" t="str">
        <f t="shared" si="3"/>
        <v/>
      </c>
      <c r="I257" s="14"/>
      <c r="J257" s="14"/>
      <c r="K257" s="14"/>
      <c r="L257" s="14"/>
      <c r="M257" s="15"/>
    </row>
    <row r="258" spans="2:13" x14ac:dyDescent="0.25">
      <c r="B258" s="61"/>
      <c r="C258" s="14"/>
      <c r="D258" s="77"/>
      <c r="E258" s="78"/>
      <c r="F258" s="78"/>
      <c r="G258" s="65"/>
      <c r="H258" s="65" t="str">
        <f t="shared" si="3"/>
        <v/>
      </c>
      <c r="I258" s="14"/>
      <c r="J258" s="14"/>
      <c r="K258" s="14"/>
      <c r="L258" s="14"/>
      <c r="M258" s="15"/>
    </row>
    <row r="259" spans="2:13" x14ac:dyDescent="0.25">
      <c r="B259" s="61"/>
      <c r="C259" s="14"/>
      <c r="D259" s="77"/>
      <c r="E259" s="78"/>
      <c r="F259" s="78"/>
      <c r="G259" s="65"/>
      <c r="H259" s="65" t="str">
        <f t="shared" si="3"/>
        <v/>
      </c>
      <c r="I259" s="14"/>
      <c r="J259" s="14"/>
      <c r="K259" s="14"/>
      <c r="L259" s="14"/>
      <c r="M259" s="15"/>
    </row>
    <row r="260" spans="2:13" x14ac:dyDescent="0.25">
      <c r="B260" s="61"/>
      <c r="C260" s="14"/>
      <c r="D260" s="77"/>
      <c r="E260" s="78"/>
      <c r="F260" s="78"/>
      <c r="G260" s="65"/>
      <c r="H260" s="65" t="str">
        <f t="shared" si="3"/>
        <v/>
      </c>
      <c r="I260" s="14"/>
      <c r="J260" s="14"/>
      <c r="K260" s="14"/>
      <c r="L260" s="14"/>
      <c r="M260" s="15"/>
    </row>
    <row r="261" spans="2:13" x14ac:dyDescent="0.25">
      <c r="B261" s="61"/>
      <c r="C261" s="14"/>
      <c r="D261" s="77"/>
      <c r="E261" s="78"/>
      <c r="F261" s="78"/>
      <c r="G261" s="65"/>
      <c r="H261" s="65" t="str">
        <f t="shared" si="3"/>
        <v/>
      </c>
      <c r="I261" s="14"/>
      <c r="J261" s="14"/>
      <c r="K261" s="14"/>
      <c r="L261" s="14"/>
      <c r="M261" s="15"/>
    </row>
    <row r="262" spans="2:13" x14ac:dyDescent="0.25">
      <c r="B262" s="61"/>
      <c r="C262" s="14"/>
      <c r="D262" s="77"/>
      <c r="E262" s="78"/>
      <c r="F262" s="78"/>
      <c r="G262" s="65"/>
      <c r="H262" s="65" t="str">
        <f t="shared" si="3"/>
        <v/>
      </c>
      <c r="I262" s="14"/>
      <c r="J262" s="14"/>
      <c r="K262" s="14"/>
      <c r="L262" s="14"/>
      <c r="M262" s="15"/>
    </row>
    <row r="263" spans="2:13" x14ac:dyDescent="0.25">
      <c r="B263" s="61"/>
      <c r="C263" s="14"/>
      <c r="D263" s="77"/>
      <c r="E263" s="78"/>
      <c r="F263" s="78"/>
      <c r="G263" s="65"/>
      <c r="H263" s="65" t="str">
        <f t="shared" si="3"/>
        <v/>
      </c>
      <c r="I263" s="14"/>
      <c r="J263" s="14"/>
      <c r="K263" s="14"/>
      <c r="L263" s="14"/>
      <c r="M263" s="15"/>
    </row>
    <row r="264" spans="2:13" x14ac:dyDescent="0.25">
      <c r="B264" s="61"/>
      <c r="C264" s="14"/>
      <c r="D264" s="77"/>
      <c r="E264" s="78"/>
      <c r="F264" s="78"/>
      <c r="G264" s="65"/>
      <c r="H264" s="65" t="str">
        <f t="shared" si="3"/>
        <v/>
      </c>
      <c r="I264" s="14"/>
      <c r="J264" s="14"/>
      <c r="K264" s="14"/>
      <c r="L264" s="14"/>
      <c r="M264" s="15"/>
    </row>
    <row r="265" spans="2:13" x14ac:dyDescent="0.25">
      <c r="B265" s="61"/>
      <c r="C265" s="14"/>
      <c r="D265" s="77"/>
      <c r="E265" s="78"/>
      <c r="F265" s="78"/>
      <c r="G265" s="65"/>
      <c r="H265" s="65" t="str">
        <f t="shared" si="3"/>
        <v/>
      </c>
      <c r="I265" s="14"/>
      <c r="J265" s="14"/>
      <c r="K265" s="14"/>
      <c r="L265" s="14"/>
      <c r="M265" s="15"/>
    </row>
    <row r="266" spans="2:13" x14ac:dyDescent="0.25">
      <c r="B266" s="61"/>
      <c r="C266" s="14"/>
      <c r="D266" s="77"/>
      <c r="E266" s="78"/>
      <c r="F266" s="78"/>
      <c r="G266" s="65"/>
      <c r="H266" s="65" t="str">
        <f t="shared" si="3"/>
        <v/>
      </c>
      <c r="I266" s="14"/>
      <c r="J266" s="14"/>
      <c r="K266" s="14"/>
      <c r="L266" s="14"/>
      <c r="M266" s="15"/>
    </row>
    <row r="267" spans="2:13" x14ac:dyDescent="0.25">
      <c r="B267" s="61"/>
      <c r="C267" s="14"/>
      <c r="D267" s="77"/>
      <c r="E267" s="78"/>
      <c r="F267" s="78"/>
      <c r="G267" s="65"/>
      <c r="H267" s="65" t="str">
        <f t="shared" si="3"/>
        <v/>
      </c>
      <c r="I267" s="14"/>
      <c r="J267" s="14"/>
      <c r="K267" s="14"/>
      <c r="L267" s="14"/>
      <c r="M267" s="15"/>
    </row>
    <row r="268" spans="2:13" x14ac:dyDescent="0.25">
      <c r="B268" s="61"/>
      <c r="C268" s="14"/>
      <c r="D268" s="77"/>
      <c r="E268" s="78"/>
      <c r="F268" s="78"/>
      <c r="G268" s="65"/>
      <c r="H268" s="65" t="str">
        <f t="shared" si="3"/>
        <v/>
      </c>
      <c r="I268" s="14"/>
      <c r="J268" s="14"/>
      <c r="K268" s="14"/>
      <c r="L268" s="14"/>
      <c r="M268" s="15"/>
    </row>
    <row r="269" spans="2:13" x14ac:dyDescent="0.25">
      <c r="B269" s="61"/>
      <c r="C269" s="14"/>
      <c r="D269" s="77"/>
      <c r="E269" s="78"/>
      <c r="F269" s="78"/>
      <c r="G269" s="65"/>
      <c r="H269" s="65" t="str">
        <f t="shared" si="3"/>
        <v/>
      </c>
      <c r="I269" s="14"/>
      <c r="J269" s="14"/>
      <c r="K269" s="14"/>
      <c r="L269" s="14"/>
      <c r="M269" s="15"/>
    </row>
    <row r="270" spans="2:13" x14ac:dyDescent="0.25">
      <c r="B270" s="61"/>
      <c r="C270" s="14"/>
      <c r="D270" s="77"/>
      <c r="E270" s="78"/>
      <c r="F270" s="78"/>
      <c r="G270" s="65"/>
      <c r="H270" s="65" t="str">
        <f t="shared" si="3"/>
        <v/>
      </c>
      <c r="I270" s="14"/>
      <c r="J270" s="14"/>
      <c r="K270" s="14"/>
      <c r="L270" s="14"/>
      <c r="M270" s="15"/>
    </row>
    <row r="271" spans="2:13" x14ac:dyDescent="0.25">
      <c r="B271" s="61"/>
      <c r="C271" s="14"/>
      <c r="D271" s="77"/>
      <c r="E271" s="78"/>
      <c r="F271" s="78"/>
      <c r="G271" s="65"/>
      <c r="H271" s="65" t="str">
        <f t="shared" si="3"/>
        <v/>
      </c>
      <c r="I271" s="14"/>
      <c r="J271" s="14"/>
      <c r="K271" s="14"/>
      <c r="L271" s="14"/>
      <c r="M271" s="15"/>
    </row>
    <row r="272" spans="2:13" x14ac:dyDescent="0.25">
      <c r="B272" s="61"/>
      <c r="C272" s="14"/>
      <c r="D272" s="77"/>
      <c r="E272" s="78"/>
      <c r="F272" s="78"/>
      <c r="G272" s="65"/>
      <c r="H272" s="65" t="str">
        <f t="shared" si="3"/>
        <v/>
      </c>
      <c r="I272" s="14"/>
      <c r="J272" s="14"/>
      <c r="K272" s="14"/>
      <c r="L272" s="14"/>
      <c r="M272" s="15"/>
    </row>
    <row r="273" spans="2:13" x14ac:dyDescent="0.25">
      <c r="B273" s="61"/>
      <c r="C273" s="14"/>
      <c r="D273" s="77"/>
      <c r="E273" s="78"/>
      <c r="F273" s="78"/>
      <c r="G273" s="65"/>
      <c r="H273" s="65" t="str">
        <f t="shared" si="3"/>
        <v/>
      </c>
      <c r="I273" s="14"/>
      <c r="J273" s="14"/>
      <c r="K273" s="14"/>
      <c r="L273" s="14"/>
      <c r="M273" s="15"/>
    </row>
    <row r="274" spans="2:13" x14ac:dyDescent="0.25">
      <c r="B274" s="61"/>
      <c r="C274" s="14"/>
      <c r="D274" s="77"/>
      <c r="E274" s="78"/>
      <c r="F274" s="78"/>
      <c r="G274" s="65"/>
      <c r="H274" s="65" t="str">
        <f t="shared" si="3"/>
        <v/>
      </c>
      <c r="I274" s="14"/>
      <c r="J274" s="14"/>
      <c r="K274" s="14"/>
      <c r="L274" s="14"/>
      <c r="M274" s="15"/>
    </row>
    <row r="275" spans="2:13" x14ac:dyDescent="0.25">
      <c r="B275" s="61"/>
      <c r="C275" s="14"/>
      <c r="D275" s="77"/>
      <c r="E275" s="78"/>
      <c r="F275" s="78"/>
      <c r="G275" s="65"/>
      <c r="H275" s="65" t="str">
        <f t="shared" si="3"/>
        <v/>
      </c>
      <c r="I275" s="14"/>
      <c r="J275" s="14"/>
      <c r="K275" s="14"/>
      <c r="L275" s="14"/>
      <c r="M275" s="15"/>
    </row>
    <row r="276" spans="2:13" x14ac:dyDescent="0.25">
      <c r="B276" s="61"/>
      <c r="C276" s="14"/>
      <c r="D276" s="77"/>
      <c r="E276" s="78"/>
      <c r="F276" s="78"/>
      <c r="G276" s="65"/>
      <c r="H276" s="65" t="str">
        <f t="shared" si="3"/>
        <v/>
      </c>
      <c r="I276" s="14"/>
      <c r="J276" s="14"/>
      <c r="K276" s="14"/>
      <c r="L276" s="14"/>
      <c r="M276" s="15"/>
    </row>
    <row r="277" spans="2:13" x14ac:dyDescent="0.25">
      <c r="B277" s="61"/>
      <c r="C277" s="14"/>
      <c r="D277" s="77"/>
      <c r="E277" s="78"/>
      <c r="F277" s="78"/>
      <c r="G277" s="65"/>
      <c r="H277" s="65" t="str">
        <f t="shared" si="3"/>
        <v/>
      </c>
      <c r="I277" s="14"/>
      <c r="J277" s="14"/>
      <c r="K277" s="14"/>
      <c r="L277" s="14"/>
      <c r="M277" s="15"/>
    </row>
    <row r="278" spans="2:13" x14ac:dyDescent="0.25">
      <c r="B278" s="61"/>
      <c r="C278" s="14"/>
      <c r="D278" s="77"/>
      <c r="E278" s="78"/>
      <c r="F278" s="78"/>
      <c r="G278" s="65"/>
      <c r="H278" s="65" t="str">
        <f t="shared" si="3"/>
        <v/>
      </c>
      <c r="I278" s="14"/>
      <c r="J278" s="14"/>
      <c r="K278" s="14"/>
      <c r="L278" s="14"/>
      <c r="M278" s="15"/>
    </row>
    <row r="279" spans="2:13" x14ac:dyDescent="0.25">
      <c r="B279" s="61"/>
      <c r="C279" s="14"/>
      <c r="D279" s="77"/>
      <c r="E279" s="78"/>
      <c r="F279" s="78"/>
      <c r="G279" s="65"/>
      <c r="H279" s="65" t="str">
        <f t="shared" si="3"/>
        <v/>
      </c>
      <c r="I279" s="14"/>
      <c r="J279" s="14"/>
      <c r="K279" s="14"/>
      <c r="L279" s="14"/>
      <c r="M279" s="15"/>
    </row>
    <row r="280" spans="2:13" x14ac:dyDescent="0.25">
      <c r="B280" s="61"/>
      <c r="C280" s="14"/>
      <c r="D280" s="77"/>
      <c r="E280" s="78"/>
      <c r="F280" s="78"/>
      <c r="G280" s="65"/>
      <c r="H280" s="65" t="str">
        <f t="shared" si="3"/>
        <v/>
      </c>
      <c r="I280" s="14"/>
      <c r="J280" s="14"/>
      <c r="K280" s="14"/>
      <c r="L280" s="14"/>
      <c r="M280" s="15"/>
    </row>
    <row r="281" spans="2:13" x14ac:dyDescent="0.25">
      <c r="B281" s="61"/>
      <c r="C281" s="14"/>
      <c r="D281" s="77"/>
      <c r="E281" s="78"/>
      <c r="F281" s="78"/>
      <c r="G281" s="65"/>
      <c r="H281" s="65" t="str">
        <f t="shared" si="3"/>
        <v/>
      </c>
      <c r="I281" s="14"/>
      <c r="J281" s="14"/>
      <c r="K281" s="14"/>
      <c r="L281" s="14"/>
      <c r="M281" s="15"/>
    </row>
    <row r="282" spans="2:13" x14ac:dyDescent="0.25">
      <c r="B282" s="61"/>
      <c r="C282" s="14"/>
      <c r="D282" s="77"/>
      <c r="E282" s="78"/>
      <c r="F282" s="78"/>
      <c r="G282" s="65"/>
      <c r="H282" s="65" t="str">
        <f t="shared" ref="H282:H291" si="4">IF(AND(F282&lt;&gt;"",E282&lt;&gt;"",G282&lt;&gt;""),AND(F282=G282,G282=ROUND(E282,4)),"")</f>
        <v/>
      </c>
      <c r="I282" s="14"/>
      <c r="J282" s="14"/>
      <c r="K282" s="14"/>
      <c r="L282" s="14"/>
      <c r="M282" s="15"/>
    </row>
    <row r="283" spans="2:13" x14ac:dyDescent="0.25">
      <c r="B283" s="61"/>
      <c r="C283" s="14"/>
      <c r="D283" s="77"/>
      <c r="E283" s="78"/>
      <c r="F283" s="78"/>
      <c r="G283" s="65"/>
      <c r="H283" s="65" t="str">
        <f t="shared" si="4"/>
        <v/>
      </c>
      <c r="I283" s="14"/>
      <c r="J283" s="14"/>
      <c r="K283" s="14"/>
      <c r="L283" s="14"/>
      <c r="M283" s="15"/>
    </row>
    <row r="284" spans="2:13" x14ac:dyDescent="0.25">
      <c r="B284" s="61"/>
      <c r="C284" s="14"/>
      <c r="D284" s="77"/>
      <c r="E284" s="78"/>
      <c r="F284" s="78"/>
      <c r="G284" s="65"/>
      <c r="H284" s="65" t="str">
        <f t="shared" si="4"/>
        <v/>
      </c>
      <c r="I284" s="14"/>
      <c r="J284" s="14"/>
      <c r="K284" s="14"/>
      <c r="L284" s="14"/>
      <c r="M284" s="15"/>
    </row>
    <row r="285" spans="2:13" x14ac:dyDescent="0.25">
      <c r="B285" s="61"/>
      <c r="C285" s="14"/>
      <c r="D285" s="77"/>
      <c r="E285" s="78"/>
      <c r="F285" s="78"/>
      <c r="G285" s="65"/>
      <c r="H285" s="65" t="str">
        <f t="shared" si="4"/>
        <v/>
      </c>
      <c r="I285" s="14"/>
      <c r="J285" s="14"/>
      <c r="K285" s="14"/>
      <c r="L285" s="14"/>
      <c r="M285" s="15"/>
    </row>
    <row r="286" spans="2:13" x14ac:dyDescent="0.25">
      <c r="B286" s="61"/>
      <c r="C286" s="14"/>
      <c r="D286" s="77"/>
      <c r="E286" s="78"/>
      <c r="F286" s="78"/>
      <c r="G286" s="65"/>
      <c r="H286" s="65" t="str">
        <f t="shared" si="4"/>
        <v/>
      </c>
      <c r="I286" s="14"/>
      <c r="J286" s="14"/>
      <c r="K286" s="14"/>
      <c r="L286" s="14"/>
      <c r="M286" s="15"/>
    </row>
    <row r="287" spans="2:13" x14ac:dyDescent="0.25">
      <c r="B287" s="61"/>
      <c r="C287" s="14"/>
      <c r="D287" s="77"/>
      <c r="E287" s="78"/>
      <c r="F287" s="78"/>
      <c r="G287" s="65"/>
      <c r="H287" s="65" t="str">
        <f t="shared" si="4"/>
        <v/>
      </c>
      <c r="I287" s="14"/>
      <c r="J287" s="14"/>
      <c r="K287" s="14"/>
      <c r="L287" s="14"/>
      <c r="M287" s="15"/>
    </row>
    <row r="288" spans="2:13" x14ac:dyDescent="0.25">
      <c r="B288" s="61"/>
      <c r="C288" s="14"/>
      <c r="D288" s="77"/>
      <c r="E288" s="78"/>
      <c r="F288" s="78"/>
      <c r="G288" s="65"/>
      <c r="H288" s="65" t="str">
        <f t="shared" si="4"/>
        <v/>
      </c>
      <c r="I288" s="14"/>
      <c r="J288" s="14"/>
      <c r="K288" s="14"/>
      <c r="L288" s="14"/>
      <c r="M288" s="15"/>
    </row>
    <row r="289" spans="2:13" x14ac:dyDescent="0.25">
      <c r="B289" s="61"/>
      <c r="C289" s="14"/>
      <c r="D289" s="77"/>
      <c r="E289" s="78"/>
      <c r="F289" s="78"/>
      <c r="G289" s="65"/>
      <c r="H289" s="65" t="str">
        <f t="shared" si="4"/>
        <v/>
      </c>
      <c r="I289" s="14"/>
      <c r="J289" s="14"/>
      <c r="K289" s="14"/>
      <c r="L289" s="14"/>
      <c r="M289" s="15"/>
    </row>
    <row r="290" spans="2:13" x14ac:dyDescent="0.25">
      <c r="B290" s="61"/>
      <c r="C290" s="14"/>
      <c r="D290" s="77"/>
      <c r="E290" s="78"/>
      <c r="F290" s="78"/>
      <c r="G290" s="65"/>
      <c r="H290" s="65" t="str">
        <f t="shared" si="4"/>
        <v/>
      </c>
      <c r="I290" s="14"/>
      <c r="J290" s="14"/>
      <c r="K290" s="14"/>
      <c r="L290" s="14"/>
      <c r="M290" s="15"/>
    </row>
    <row r="291" spans="2:13" x14ac:dyDescent="0.25">
      <c r="B291" s="61"/>
      <c r="C291" s="14"/>
      <c r="D291" s="77"/>
      <c r="E291" s="78"/>
      <c r="F291" s="78"/>
      <c r="G291" s="65"/>
      <c r="H291" s="65" t="str">
        <f t="shared" si="4"/>
        <v/>
      </c>
      <c r="I291" s="14"/>
      <c r="J291" s="14"/>
      <c r="K291" s="14"/>
      <c r="L291" s="14"/>
      <c r="M291" s="15"/>
    </row>
    <row r="292" spans="2:13" x14ac:dyDescent="0.25">
      <c r="B292" s="61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5"/>
    </row>
    <row r="293" spans="2:13" x14ac:dyDescent="0.25">
      <c r="B293" s="61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5"/>
    </row>
    <row r="294" spans="2:13" x14ac:dyDescent="0.25">
      <c r="B294" s="61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5"/>
    </row>
    <row r="295" spans="2:13" x14ac:dyDescent="0.25">
      <c r="B295" s="61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5"/>
    </row>
    <row r="296" spans="2:13" x14ac:dyDescent="0.25">
      <c r="B296" s="61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5"/>
    </row>
    <row r="297" spans="2:13" x14ac:dyDescent="0.25">
      <c r="B297" s="61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5"/>
    </row>
    <row r="298" spans="2:13" x14ac:dyDescent="0.25">
      <c r="B298" s="61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5"/>
    </row>
    <row r="299" spans="2:13" x14ac:dyDescent="0.25">
      <c r="B299" s="61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5"/>
    </row>
    <row r="300" spans="2:13" x14ac:dyDescent="0.25">
      <c r="B300" s="61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5"/>
    </row>
    <row r="301" spans="2:13" x14ac:dyDescent="0.25">
      <c r="B301" s="61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5"/>
    </row>
    <row r="302" spans="2:13" x14ac:dyDescent="0.25">
      <c r="B302" s="61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5"/>
    </row>
    <row r="303" spans="2:13" x14ac:dyDescent="0.25">
      <c r="B303" s="61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5"/>
    </row>
    <row r="304" spans="2:13" x14ac:dyDescent="0.25">
      <c r="B304" s="61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5"/>
    </row>
    <row r="305" spans="2:13" x14ac:dyDescent="0.25">
      <c r="B305" s="61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5"/>
    </row>
    <row r="306" spans="2:13" x14ac:dyDescent="0.25">
      <c r="B306" s="61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5"/>
    </row>
    <row r="307" spans="2:13" x14ac:dyDescent="0.25">
      <c r="B307" s="61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5"/>
    </row>
    <row r="308" spans="2:13" x14ac:dyDescent="0.25">
      <c r="B308" s="61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5"/>
    </row>
    <row r="309" spans="2:13" x14ac:dyDescent="0.25">
      <c r="B309" s="61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5"/>
    </row>
    <row r="310" spans="2:13" x14ac:dyDescent="0.25">
      <c r="B310" s="61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5"/>
    </row>
    <row r="311" spans="2:13" x14ac:dyDescent="0.25">
      <c r="B311" s="61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5"/>
    </row>
    <row r="312" spans="2:13" x14ac:dyDescent="0.25">
      <c r="B312" s="61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5"/>
    </row>
    <row r="313" spans="2:13" x14ac:dyDescent="0.25">
      <c r="B313" s="61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5"/>
    </row>
    <row r="314" spans="2:13" ht="15.75" thickBot="1" x14ac:dyDescent="0.3">
      <c r="B314" s="74"/>
      <c r="C314" s="40"/>
      <c r="D314" s="40"/>
      <c r="E314" s="40"/>
      <c r="F314" s="40"/>
      <c r="G314" s="40"/>
      <c r="H314" s="40"/>
      <c r="I314" s="14"/>
      <c r="J314" s="14"/>
      <c r="K314" s="14"/>
      <c r="L314" s="14"/>
      <c r="M314" s="15"/>
    </row>
  </sheetData>
  <sheetProtection sheet="1" objects="1" scenarios="1"/>
  <conditionalFormatting sqref="E18:E19 E25:F291">
    <cfRule type="expression" dxfId="15" priority="3">
      <formula>E18&lt;&gt;""</formula>
    </cfRule>
  </conditionalFormatting>
  <conditionalFormatting sqref="J17">
    <cfRule type="expression" dxfId="14" priority="7">
      <formula>NOT(J17)</formula>
    </cfRule>
    <cfRule type="expression" dxfId="13" priority="8">
      <formula>J17</formula>
    </cfRule>
  </conditionalFormatting>
  <conditionalFormatting sqref="F25:F291">
    <cfRule type="expression" dxfId="12" priority="6">
      <formula>F25&lt;&gt;""</formula>
    </cfRule>
  </conditionalFormatting>
  <conditionalFormatting sqref="H25:H291">
    <cfRule type="expression" dxfId="11" priority="4">
      <formula>NOT(H25)</formula>
    </cfRule>
    <cfRule type="expression" dxfId="10" priority="5">
      <formula>H25</formula>
    </cfRule>
  </conditionalFormatting>
  <conditionalFormatting sqref="E25:F291">
    <cfRule type="expression" dxfId="9" priority="11">
      <formula>$D25&lt;&gt;""</formula>
    </cfRule>
  </conditionalFormatting>
  <conditionalFormatting sqref="G18:G19 H25:H291">
    <cfRule type="expression" dxfId="8" priority="9">
      <formula>NOT(G18)</formula>
    </cfRule>
    <cfRule type="expression" dxfId="7" priority="10">
      <formula>G18</formula>
    </cfRule>
  </conditionalFormatting>
  <conditionalFormatting sqref="J15">
    <cfRule type="expression" dxfId="6" priority="1">
      <formula>NOT(J15)</formula>
    </cfRule>
    <cfRule type="expression" dxfId="5" priority="2">
      <formula>J15</formula>
    </cfRule>
  </conditionalFormatting>
  <dataValidations count="2">
    <dataValidation type="decimal" allowBlank="1" showInputMessage="1" showErrorMessage="1" sqref="E18:E19" xr:uid="{2CA1122B-FF57-4920-9E1E-8E7D13D1C212}">
      <formula1>0</formula1>
      <formula2>500000</formula2>
    </dataValidation>
    <dataValidation type="decimal" allowBlank="1" showInputMessage="1" showErrorMessage="1" errorTitle="Wprowadź liczbę" error="Wprowadź liczbę." sqref="E25:F291" xr:uid="{49888B63-54A9-4427-9ADD-64FC0BA844E7}">
      <formula1>0</formula1>
      <formula2>5000000</formula2>
    </dataValidation>
  </dataValidations>
  <pageMargins left="0.7" right="0.7" top="0.75" bottom="0.75" header="0.3" footer="0.3"/>
  <pageSetup paperSize="9" fitToWidth="9" fitToHeight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_pickYear_verification">
                <anchor moveWithCells="1">
                  <from>
                    <xdr:col>5</xdr:col>
                    <xdr:colOff>104775</xdr:colOff>
                    <xdr:row>12</xdr:row>
                    <xdr:rowOff>19050</xdr:rowOff>
                  </from>
                  <to>
                    <xdr:col>6</xdr:col>
                    <xdr:colOff>104775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autoFill="0" autoPict="0" macro="[0]!SaveResultsOfVerification">
                <anchor moveWithCells="1">
                  <from>
                    <xdr:col>7</xdr:col>
                    <xdr:colOff>685800</xdr:colOff>
                    <xdr:row>10</xdr:row>
                    <xdr:rowOff>57150</xdr:rowOff>
                  </from>
                  <to>
                    <xdr:col>10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LetsFullClear_ClearSheet_SheetName_veryfication">
                <anchor moveWithCells="1">
                  <from>
                    <xdr:col>8</xdr:col>
                    <xdr:colOff>523875</xdr:colOff>
                    <xdr:row>18</xdr:row>
                    <xdr:rowOff>85725</xdr:rowOff>
                  </from>
                  <to>
                    <xdr:col>9</xdr:col>
                    <xdr:colOff>409575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LoadDateAndClear">
                <anchor moveWithCells="1">
                  <from>
                    <xdr:col>7</xdr:col>
                    <xdr:colOff>276225</xdr:colOff>
                    <xdr:row>17</xdr:row>
                    <xdr:rowOff>123825</xdr:rowOff>
                  </from>
                  <to>
                    <xdr:col>8</xdr:col>
                    <xdr:colOff>400050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52C5-63C2-4C9F-A342-8E222C2692F6}">
  <sheetPr codeName="Arkusz9">
    <tabColor theme="8" tint="0.79998168889431442"/>
  </sheetPr>
  <dimension ref="A1:AA58"/>
  <sheetViews>
    <sheetView showGridLines="0" workbookViewId="0">
      <selection activeCell="R22" sqref="C22:R25"/>
    </sheetView>
  </sheetViews>
  <sheetFormatPr defaultRowHeight="15" x14ac:dyDescent="0.25"/>
  <cols>
    <col min="3" max="3" width="6.28515625" customWidth="1"/>
    <col min="4" max="4" width="16.5703125" customWidth="1"/>
    <col min="5" max="5" width="9.28515625" customWidth="1"/>
    <col min="6" max="6" width="23.85546875" customWidth="1"/>
    <col min="7" max="7" width="10" customWidth="1"/>
    <col min="8" max="9" width="7.140625" customWidth="1"/>
    <col min="11" max="12" width="6.5703125" customWidth="1"/>
    <col min="15" max="17" width="8.5703125" customWidth="1"/>
  </cols>
  <sheetData>
    <row r="1" spans="1:27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ht="26.25" x14ac:dyDescent="0.4">
      <c r="A3" s="14"/>
      <c r="B3" s="14"/>
      <c r="C3" s="38" t="s">
        <v>79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1:27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9" spans="1:27" hidden="1" x14ac:dyDescent="0.25"/>
    <row r="10" spans="1:27" hidden="1" x14ac:dyDescent="0.25"/>
    <row r="11" spans="1:27" hidden="1" x14ac:dyDescent="0.25"/>
    <row r="12" spans="1:27" hidden="1" x14ac:dyDescent="0.25"/>
    <row r="13" spans="1:27" hidden="1" x14ac:dyDescent="0.25"/>
    <row r="14" spans="1:27" hidden="1" x14ac:dyDescent="0.25"/>
    <row r="15" spans="1:27" hidden="1" x14ac:dyDescent="0.25"/>
    <row r="16" spans="1:27" hidden="1" x14ac:dyDescent="0.25"/>
    <row r="17" spans="3:21" hidden="1" x14ac:dyDescent="0.25"/>
    <row r="18" spans="3:21" hidden="1" x14ac:dyDescent="0.25"/>
    <row r="20" spans="3:21" x14ac:dyDescent="0.25">
      <c r="H20" s="144" t="s">
        <v>69</v>
      </c>
      <c r="I20" s="144"/>
      <c r="J20" s="144"/>
      <c r="K20" s="144" t="s">
        <v>64</v>
      </c>
      <c r="L20" s="144"/>
      <c r="M20" s="144"/>
    </row>
    <row r="21" spans="3:21" ht="47.25" customHeight="1" x14ac:dyDescent="0.25">
      <c r="C21" s="81" t="s">
        <v>86</v>
      </c>
      <c r="D21" s="82" t="s">
        <v>22</v>
      </c>
      <c r="E21" s="82" t="s">
        <v>83</v>
      </c>
      <c r="F21" s="82" t="s">
        <v>84</v>
      </c>
      <c r="G21" s="83" t="s">
        <v>85</v>
      </c>
      <c r="H21" s="85" t="s">
        <v>75</v>
      </c>
      <c r="I21" s="85" t="s">
        <v>74</v>
      </c>
      <c r="J21" s="85" t="s">
        <v>11</v>
      </c>
      <c r="K21" s="84" t="s">
        <v>75</v>
      </c>
      <c r="L21" s="84" t="s">
        <v>74</v>
      </c>
      <c r="M21" s="84" t="s">
        <v>11</v>
      </c>
      <c r="N21" s="86" t="s">
        <v>20</v>
      </c>
      <c r="O21" s="80" t="s">
        <v>77</v>
      </c>
      <c r="P21" s="80" t="s">
        <v>78</v>
      </c>
      <c r="Q21" s="80" t="s">
        <v>81</v>
      </c>
      <c r="R21" s="80" t="s">
        <v>87</v>
      </c>
      <c r="U21" s="1"/>
    </row>
    <row r="22" spans="3:21" x14ac:dyDescent="0.25">
      <c r="C22" s="45"/>
      <c r="D22" s="50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</row>
    <row r="23" spans="3:21" x14ac:dyDescent="0.25">
      <c r="C23" s="45"/>
      <c r="D23" s="50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</row>
    <row r="24" spans="3:21" x14ac:dyDescent="0.25">
      <c r="C24" s="45"/>
      <c r="D24" s="87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</row>
    <row r="25" spans="3:21" x14ac:dyDescent="0.25">
      <c r="C25" s="45"/>
      <c r="D25" s="87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</row>
    <row r="26" spans="3:21" x14ac:dyDescent="0.25">
      <c r="C26" s="45"/>
      <c r="D26" s="87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</row>
    <row r="27" spans="3:21" x14ac:dyDescent="0.25">
      <c r="C27" s="45"/>
      <c r="D27" s="87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</row>
    <row r="28" spans="3:21" x14ac:dyDescent="0.25">
      <c r="C28" s="45"/>
      <c r="D28" s="87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</row>
    <row r="29" spans="3:21" x14ac:dyDescent="0.25">
      <c r="C29" s="45"/>
      <c r="D29" s="87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</row>
    <row r="30" spans="3:21" x14ac:dyDescent="0.25">
      <c r="C30" s="45"/>
      <c r="D30" s="87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</row>
    <row r="31" spans="3:21" x14ac:dyDescent="0.25">
      <c r="C31" s="45"/>
      <c r="D31" s="87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</row>
    <row r="32" spans="3:21" x14ac:dyDescent="0.25">
      <c r="C32" s="45"/>
      <c r="D32" s="87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</row>
    <row r="33" spans="3:18" x14ac:dyDescent="0.25">
      <c r="C33" s="45"/>
      <c r="D33" s="87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</row>
    <row r="34" spans="3:18" x14ac:dyDescent="0.25">
      <c r="C34" s="45"/>
      <c r="D34" s="87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</row>
    <row r="35" spans="3:18" x14ac:dyDescent="0.25">
      <c r="D35" s="94"/>
    </row>
    <row r="36" spans="3:18" x14ac:dyDescent="0.25">
      <c r="D36" s="94"/>
    </row>
    <row r="37" spans="3:18" x14ac:dyDescent="0.25">
      <c r="D37" s="94"/>
    </row>
    <row r="38" spans="3:18" x14ac:dyDescent="0.25">
      <c r="D38" s="94"/>
    </row>
    <row r="39" spans="3:18" x14ac:dyDescent="0.25">
      <c r="D39" s="94"/>
    </row>
    <row r="40" spans="3:18" x14ac:dyDescent="0.25">
      <c r="D40" s="94"/>
    </row>
    <row r="41" spans="3:18" x14ac:dyDescent="0.25">
      <c r="D41" s="94"/>
    </row>
    <row r="42" spans="3:18" x14ac:dyDescent="0.25">
      <c r="D42" s="94"/>
    </row>
    <row r="43" spans="3:18" x14ac:dyDescent="0.25">
      <c r="D43" s="94"/>
    </row>
    <row r="44" spans="3:18" x14ac:dyDescent="0.25">
      <c r="D44" s="94"/>
    </row>
    <row r="45" spans="3:18" x14ac:dyDescent="0.25">
      <c r="D45" s="94"/>
    </row>
    <row r="46" spans="3:18" x14ac:dyDescent="0.25">
      <c r="D46" s="94"/>
    </row>
    <row r="47" spans="3:18" x14ac:dyDescent="0.25">
      <c r="D47" s="94"/>
    </row>
    <row r="48" spans="3:18" x14ac:dyDescent="0.25">
      <c r="D48" s="94"/>
    </row>
    <row r="49" spans="4:4" x14ac:dyDescent="0.25">
      <c r="D49" s="94"/>
    </row>
    <row r="50" spans="4:4" x14ac:dyDescent="0.25">
      <c r="D50" s="94"/>
    </row>
    <row r="51" spans="4:4" x14ac:dyDescent="0.25">
      <c r="D51" s="94"/>
    </row>
    <row r="52" spans="4:4" x14ac:dyDescent="0.25">
      <c r="D52" s="94"/>
    </row>
    <row r="53" spans="4:4" x14ac:dyDescent="0.25">
      <c r="D53" s="94"/>
    </row>
    <row r="54" spans="4:4" x14ac:dyDescent="0.25">
      <c r="D54" s="94"/>
    </row>
    <row r="55" spans="4:4" x14ac:dyDescent="0.25">
      <c r="D55" s="94"/>
    </row>
    <row r="56" spans="4:4" x14ac:dyDescent="0.25">
      <c r="D56" s="94"/>
    </row>
    <row r="57" spans="4:4" x14ac:dyDescent="0.25">
      <c r="D57" s="94"/>
    </row>
    <row r="58" spans="4:4" x14ac:dyDescent="0.25">
      <c r="D58" s="94"/>
    </row>
  </sheetData>
  <sheetProtection formatColumns="0" formatRows="0" sort="0" autoFilter="0" pivotTables="0"/>
  <autoFilter ref="C21:R39" xr:uid="{11E552C5-63C2-4C9F-A342-8E222C2692F6}"/>
  <mergeCells count="2">
    <mergeCell ref="H20:J20"/>
    <mergeCell ref="K20:M20"/>
  </mergeCells>
  <conditionalFormatting sqref="C22:R36000">
    <cfRule type="expression" dxfId="4" priority="2">
      <formula>$C22&lt;&gt;""</formula>
    </cfRule>
  </conditionalFormatting>
  <conditionalFormatting sqref="G22:G36000">
    <cfRule type="expression" dxfId="3" priority="1">
      <formula>AND(NOT($G22),$G22&lt;&gt;"")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BFBC-FC4F-484B-BF3A-6A5A35AF21FE}">
  <sheetPr codeName="Arkusz6">
    <tabColor theme="9"/>
  </sheetPr>
  <dimension ref="A1:W39"/>
  <sheetViews>
    <sheetView showGridLines="0" zoomScale="110" zoomScaleNormal="110" workbookViewId="0">
      <selection activeCell="C45" sqref="C45"/>
    </sheetView>
  </sheetViews>
  <sheetFormatPr defaultRowHeight="15" x14ac:dyDescent="0.25"/>
  <cols>
    <col min="2" max="2" width="6.42578125" customWidth="1"/>
    <col min="3" max="4" width="17.7109375" bestFit="1" customWidth="1"/>
    <col min="5" max="5" width="18.42578125" bestFit="1" customWidth="1"/>
    <col min="6" max="6" width="14.5703125" bestFit="1" customWidth="1"/>
  </cols>
  <sheetData>
    <row r="1" spans="1:23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</row>
    <row r="2" spans="1:23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</row>
    <row r="3" spans="1:23" ht="26.25" x14ac:dyDescent="0.4">
      <c r="A3" s="91"/>
      <c r="B3" s="91"/>
      <c r="C3" s="92" t="s">
        <v>93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x14ac:dyDescent="0.25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</row>
    <row r="5" spans="1:23" x14ac:dyDescent="0.25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</row>
    <row r="6" spans="1:23" ht="15.75" thickBot="1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</row>
    <row r="11" spans="1:23" x14ac:dyDescent="0.25">
      <c r="K11" s="3"/>
    </row>
    <row r="12" spans="1:23" x14ac:dyDescent="0.25">
      <c r="C12" s="3"/>
      <c r="D12" s="3"/>
      <c r="E12" s="3"/>
      <c r="F12" s="3"/>
      <c r="K12" s="3"/>
    </row>
    <row r="25" spans="3:4" hidden="1" x14ac:dyDescent="0.25"/>
    <row r="26" spans="3:4" hidden="1" x14ac:dyDescent="0.25"/>
    <row r="27" spans="3:4" hidden="1" x14ac:dyDescent="0.25"/>
    <row r="28" spans="3:4" hidden="1" x14ac:dyDescent="0.25"/>
    <row r="32" spans="3:4" hidden="1" x14ac:dyDescent="0.25">
      <c r="C32" s="89" t="s">
        <v>17</v>
      </c>
      <c r="D32" t="s">
        <v>82</v>
      </c>
    </row>
    <row r="34" spans="3:6" x14ac:dyDescent="0.25">
      <c r="C34" s="89" t="s">
        <v>89</v>
      </c>
      <c r="D34" s="89" t="s">
        <v>92</v>
      </c>
    </row>
    <row r="35" spans="3:6" x14ac:dyDescent="0.25">
      <c r="C35" s="89" t="s">
        <v>90</v>
      </c>
      <c r="D35" t="s">
        <v>120</v>
      </c>
      <c r="E35" t="s">
        <v>121</v>
      </c>
      <c r="F35" t="s">
        <v>91</v>
      </c>
    </row>
    <row r="36" spans="3:6" x14ac:dyDescent="0.25">
      <c r="C36" s="90" t="s">
        <v>21</v>
      </c>
      <c r="D36" s="151">
        <v>12.5</v>
      </c>
      <c r="E36" s="151"/>
      <c r="F36" s="151">
        <v>12.5</v>
      </c>
    </row>
    <row r="37" spans="3:6" x14ac:dyDescent="0.25">
      <c r="C37" s="90" t="s">
        <v>23</v>
      </c>
      <c r="D37" s="151">
        <v>122.99</v>
      </c>
      <c r="E37" s="151"/>
      <c r="F37" s="151">
        <v>122.99</v>
      </c>
    </row>
    <row r="38" spans="3:6" x14ac:dyDescent="0.25">
      <c r="C38" s="90" t="s">
        <v>119</v>
      </c>
      <c r="D38" s="151">
        <v>50.5</v>
      </c>
      <c r="E38" s="151">
        <v>50.5</v>
      </c>
      <c r="F38" s="151">
        <v>101</v>
      </c>
    </row>
    <row r="39" spans="3:6" x14ac:dyDescent="0.25">
      <c r="C39" s="90" t="s">
        <v>91</v>
      </c>
      <c r="D39" s="151">
        <v>185.99</v>
      </c>
      <c r="E39" s="151">
        <v>50.5</v>
      </c>
      <c r="F39" s="151">
        <v>236.49</v>
      </c>
    </row>
  </sheetData>
  <sheetProtection sort="0" autoFilter="0" pivotTables="0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5361" r:id="rId4" name="oBtn_ShowWeight">
          <controlPr defaultSize="0" autoLine="0" r:id="rId5">
            <anchor moveWithCells="1">
              <from>
                <xdr:col>2</xdr:col>
                <xdr:colOff>47625</xdr:colOff>
                <xdr:row>29</xdr:row>
                <xdr:rowOff>171450</xdr:rowOff>
              </from>
              <to>
                <xdr:col>3</xdr:col>
                <xdr:colOff>238125</xdr:colOff>
                <xdr:row>32</xdr:row>
                <xdr:rowOff>57150</xdr:rowOff>
              </to>
            </anchor>
          </controlPr>
        </control>
      </mc:Choice>
      <mc:Fallback>
        <control shapeId="15361" r:id="rId4" name="oBtn_ShowWeight"/>
      </mc:Fallback>
    </mc:AlternateContent>
    <mc:AlternateContent xmlns:mc="http://schemas.openxmlformats.org/markup-compatibility/2006">
      <mc:Choice Requires="x14">
        <control shapeId="15362" r:id="rId6" name="Obtn_showCount">
          <controlPr defaultSize="0" autoLine="0" r:id="rId7">
            <anchor moveWithCells="1">
              <from>
                <xdr:col>3</xdr:col>
                <xdr:colOff>219075</xdr:colOff>
                <xdr:row>29</xdr:row>
                <xdr:rowOff>180975</xdr:rowOff>
              </from>
              <to>
                <xdr:col>4</xdr:col>
                <xdr:colOff>409575</xdr:colOff>
                <xdr:row>32</xdr:row>
                <xdr:rowOff>66675</xdr:rowOff>
              </to>
            </anchor>
          </controlPr>
        </control>
      </mc:Choice>
      <mc:Fallback>
        <control shapeId="15362" r:id="rId6" name="Obtn_showCount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6255B-142D-4610-8ACC-04FC95CE74A6}">
  <sheetPr codeName="Arkusz4">
    <tabColor theme="0" tint="-0.34998626667073579"/>
  </sheetPr>
  <dimension ref="A1:DJ409"/>
  <sheetViews>
    <sheetView topLeftCell="D1" zoomScaleNormal="100" workbookViewId="0">
      <selection activeCell="E7" sqref="E7"/>
    </sheetView>
  </sheetViews>
  <sheetFormatPr defaultColWidth="0" defaultRowHeight="15" zeroHeight="1" x14ac:dyDescent="0.25"/>
  <cols>
    <col min="1" max="3" width="5.42578125" hidden="1" customWidth="1"/>
    <col min="4" max="4" width="3.28515625" customWidth="1"/>
    <col min="5" max="5" width="24.85546875" customWidth="1"/>
    <col min="6" max="7" width="2.7109375" customWidth="1"/>
    <col min="8" max="8" width="3.28515625" customWidth="1"/>
    <col min="9" max="9" width="2.7109375" customWidth="1"/>
    <col min="10" max="11" width="9.140625" customWidth="1"/>
    <col min="12" max="12" width="26.85546875" customWidth="1"/>
    <col min="13" max="13" width="11.42578125" customWidth="1"/>
    <col min="14" max="20" width="9.140625" customWidth="1"/>
    <col min="21" max="26" width="9.140625" hidden="1" customWidth="1"/>
    <col min="27" max="27" width="19.85546875" hidden="1" customWidth="1"/>
    <col min="28" max="28" width="54.85546875" hidden="1" customWidth="1"/>
    <col min="29" max="29" width="36" hidden="1" customWidth="1"/>
    <col min="30" max="68" width="9.140625" hidden="1" customWidth="1"/>
    <col min="69" max="114" width="9.140625" customWidth="1"/>
    <col min="115" max="16384" width="9.140625" hidden="1"/>
  </cols>
  <sheetData>
    <row r="1" spans="4:114" x14ac:dyDescent="0.25"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</row>
    <row r="2" spans="4:114" ht="25.5" thickBot="1" x14ac:dyDescent="0.45">
      <c r="D2" s="14"/>
      <c r="E2" s="17" t="s">
        <v>32</v>
      </c>
      <c r="F2" s="17"/>
      <c r="G2" s="17"/>
      <c r="H2" s="17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</row>
    <row r="3" spans="4:114" x14ac:dyDescent="0.25"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</row>
    <row r="4" spans="4:114" ht="19.5" x14ac:dyDescent="0.3">
      <c r="D4" s="14"/>
      <c r="E4" s="14"/>
      <c r="F4" s="14"/>
      <c r="G4" s="14"/>
      <c r="H4" s="14"/>
      <c r="I4" s="14"/>
      <c r="J4" s="14"/>
      <c r="K4" s="14"/>
      <c r="L4" s="27" t="s">
        <v>33</v>
      </c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27" t="s">
        <v>34</v>
      </c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27" t="s">
        <v>35</v>
      </c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27" t="s">
        <v>52</v>
      </c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</row>
    <row r="5" spans="4:114" ht="6" customHeight="1" x14ac:dyDescent="0.25">
      <c r="D5" s="14"/>
      <c r="E5" s="14"/>
      <c r="F5" s="14"/>
      <c r="G5" s="14"/>
      <c r="H5" s="14"/>
      <c r="I5" s="14"/>
      <c r="J5" s="14"/>
      <c r="K5" s="20"/>
      <c r="L5" s="21"/>
      <c r="M5" s="21"/>
      <c r="N5" s="21"/>
      <c r="O5" s="21"/>
      <c r="P5" s="21"/>
      <c r="Q5" s="21"/>
      <c r="R5" s="21"/>
      <c r="S5" s="21"/>
      <c r="T5" s="14"/>
      <c r="U5" s="14"/>
      <c r="V5" s="14"/>
      <c r="W5" s="14"/>
      <c r="X5" s="14"/>
      <c r="Y5" s="14"/>
      <c r="Z5" s="20"/>
      <c r="AA5" s="21"/>
      <c r="AB5" s="21"/>
      <c r="AC5" s="21"/>
      <c r="AD5" s="21"/>
      <c r="AE5" s="21"/>
      <c r="AF5" s="21"/>
      <c r="AG5" s="21"/>
      <c r="AH5" s="21"/>
      <c r="AI5" s="21"/>
      <c r="AJ5" s="14"/>
      <c r="AK5" s="14"/>
      <c r="AL5" s="14"/>
      <c r="AM5" s="14"/>
      <c r="AN5" s="14"/>
      <c r="AO5" s="14"/>
      <c r="AP5" s="20"/>
      <c r="AQ5" s="21"/>
      <c r="AR5" s="21"/>
      <c r="AS5" s="21"/>
      <c r="AT5" s="21"/>
      <c r="AU5" s="21"/>
      <c r="AV5" s="21"/>
      <c r="AW5" s="21"/>
      <c r="AX5" s="21"/>
      <c r="AY5" s="14"/>
      <c r="AZ5" s="14"/>
      <c r="BA5" s="14"/>
      <c r="BB5" s="14"/>
      <c r="BC5" s="14"/>
      <c r="BD5" s="20"/>
      <c r="BE5" s="21"/>
      <c r="BF5" s="21"/>
      <c r="BG5" s="21"/>
      <c r="BH5" s="21"/>
      <c r="BI5" s="21"/>
      <c r="BJ5" s="21"/>
      <c r="BK5" s="21"/>
      <c r="BL5" s="21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</row>
    <row r="6" spans="4:114" ht="5.25" customHeight="1" x14ac:dyDescent="0.25">
      <c r="D6" s="14"/>
      <c r="E6" s="28"/>
      <c r="F6" s="14"/>
      <c r="G6" s="14"/>
      <c r="H6" s="14"/>
      <c r="I6" s="14"/>
      <c r="J6" s="14"/>
      <c r="K6" s="22"/>
      <c r="L6" s="23"/>
      <c r="M6" s="23"/>
      <c r="N6" s="23"/>
      <c r="O6" s="23"/>
      <c r="P6" s="23"/>
      <c r="Q6" s="23"/>
      <c r="R6" s="23"/>
      <c r="S6" s="24"/>
      <c r="T6" s="14"/>
      <c r="U6" s="14"/>
      <c r="V6" s="14"/>
      <c r="W6" s="14"/>
      <c r="X6" s="14"/>
      <c r="Y6" s="14"/>
      <c r="Z6" s="22"/>
      <c r="AA6" s="23"/>
      <c r="AB6" s="23"/>
      <c r="AC6" s="23"/>
      <c r="AD6" s="23"/>
      <c r="AE6" s="23"/>
      <c r="AF6" s="23"/>
      <c r="AG6" s="23"/>
      <c r="AH6" s="23"/>
      <c r="AI6" s="24"/>
      <c r="AJ6" s="14"/>
      <c r="AK6" s="14"/>
      <c r="AL6" s="14"/>
      <c r="AM6" s="14"/>
      <c r="AN6" s="14"/>
      <c r="AO6" s="14"/>
      <c r="AP6" s="22"/>
      <c r="AQ6" s="23"/>
      <c r="AR6" s="23"/>
      <c r="AS6" s="23"/>
      <c r="AT6" s="23"/>
      <c r="AU6" s="23"/>
      <c r="AV6" s="23"/>
      <c r="AW6" s="23"/>
      <c r="AX6" s="24"/>
      <c r="AY6" s="14"/>
      <c r="AZ6" s="14"/>
      <c r="BA6" s="14"/>
      <c r="BB6" s="14"/>
      <c r="BC6" s="14"/>
      <c r="BD6" s="22"/>
      <c r="BE6" s="23"/>
      <c r="BF6" s="23"/>
      <c r="BG6" s="23"/>
      <c r="BH6" s="23"/>
      <c r="BI6" s="23"/>
      <c r="BJ6" s="23"/>
      <c r="BK6" s="23"/>
      <c r="BL6" s="2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</row>
    <row r="7" spans="4:114" ht="17.25" customHeight="1" x14ac:dyDescent="0.25">
      <c r="D7" s="14"/>
      <c r="E7" s="18" t="str">
        <f>HYPERLINK(E6,"   KODY ODPADÓW             ")</f>
        <v xml:space="preserve">   KODY ODPADÓW             </v>
      </c>
      <c r="F7" s="14"/>
      <c r="G7" s="14"/>
      <c r="H7" s="14"/>
      <c r="I7" s="14"/>
      <c r="J7" s="14"/>
      <c r="K7" s="25"/>
      <c r="L7" s="9"/>
      <c r="M7" s="9"/>
      <c r="N7" s="9"/>
      <c r="O7" s="9"/>
      <c r="P7" s="9"/>
      <c r="Q7" s="9"/>
      <c r="R7" s="9"/>
      <c r="S7" s="26"/>
      <c r="T7" s="14"/>
      <c r="U7" s="14"/>
      <c r="V7" s="14"/>
      <c r="W7" s="14"/>
      <c r="X7" s="14"/>
      <c r="Y7" s="14"/>
      <c r="Z7" s="25"/>
      <c r="AA7" s="9"/>
      <c r="AB7" s="9"/>
      <c r="AC7" s="9"/>
      <c r="AD7" s="9"/>
      <c r="AE7" s="9"/>
      <c r="AF7" s="9"/>
      <c r="AG7" s="9"/>
      <c r="AH7" s="9"/>
      <c r="AI7" s="26"/>
      <c r="AJ7" s="14"/>
      <c r="AK7" s="14"/>
      <c r="AL7" s="14"/>
      <c r="AM7" s="14"/>
      <c r="AN7" s="14"/>
      <c r="AO7" s="14"/>
      <c r="AP7" s="25"/>
      <c r="AQ7" s="9"/>
      <c r="AR7" s="9"/>
      <c r="AS7" s="9"/>
      <c r="AT7" s="9"/>
      <c r="AU7" s="9"/>
      <c r="AV7" s="9"/>
      <c r="AW7" s="9"/>
      <c r="AX7" s="26"/>
      <c r="AY7" s="14"/>
      <c r="AZ7" s="14"/>
      <c r="BA7" s="14"/>
      <c r="BB7" s="14"/>
      <c r="BC7" s="14"/>
      <c r="BD7" s="25"/>
      <c r="BE7" s="9"/>
      <c r="BF7" s="9"/>
      <c r="BG7" s="9"/>
      <c r="BH7" s="9"/>
      <c r="BI7" s="9"/>
      <c r="BJ7" s="9"/>
      <c r="BK7" s="9"/>
      <c r="BL7" s="26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</row>
    <row r="8" spans="4:114" x14ac:dyDescent="0.25">
      <c r="D8" s="14"/>
      <c r="E8" s="19" t="str">
        <f>HYPERLINK(E6,"   GMINY             ")</f>
        <v xml:space="preserve">   GMINY             </v>
      </c>
      <c r="F8" s="14"/>
      <c r="G8" s="14"/>
      <c r="H8" s="14"/>
      <c r="I8" s="14"/>
      <c r="J8" s="14"/>
      <c r="K8" s="25"/>
      <c r="L8" s="9" t="s">
        <v>36</v>
      </c>
      <c r="M8" s="9"/>
      <c r="N8" s="9"/>
      <c r="O8" s="9"/>
      <c r="P8" s="9"/>
      <c r="Q8" s="9"/>
      <c r="R8" s="9"/>
      <c r="S8" s="26"/>
      <c r="T8" s="14"/>
      <c r="U8" s="14"/>
      <c r="V8" s="14"/>
      <c r="W8" s="14"/>
      <c r="X8" s="14"/>
      <c r="Y8" s="14"/>
      <c r="Z8" s="25"/>
      <c r="AA8" s="9" t="s">
        <v>44</v>
      </c>
      <c r="AB8" s="9"/>
      <c r="AC8" s="9"/>
      <c r="AD8" s="9"/>
      <c r="AE8" s="9"/>
      <c r="AF8" s="9"/>
      <c r="AG8" s="9"/>
      <c r="AH8" s="9"/>
      <c r="AI8" s="26"/>
      <c r="AJ8" s="14"/>
      <c r="AK8" s="14"/>
      <c r="AL8" s="14"/>
      <c r="AM8" s="14"/>
      <c r="AN8" s="14"/>
      <c r="AO8" s="14"/>
      <c r="AP8" s="25"/>
      <c r="AQ8" s="9"/>
      <c r="AR8" s="9"/>
      <c r="AS8" s="9"/>
      <c r="AT8" s="9"/>
      <c r="AU8" s="9"/>
      <c r="AV8" s="9"/>
      <c r="AW8" s="9"/>
      <c r="AX8" s="26"/>
      <c r="AY8" s="14"/>
      <c r="AZ8" s="14"/>
      <c r="BA8" s="14"/>
      <c r="BB8" s="14"/>
      <c r="BC8" s="14"/>
      <c r="BD8" s="25"/>
      <c r="BE8" s="9"/>
      <c r="BF8" s="9"/>
      <c r="BG8" s="9"/>
      <c r="BH8" s="9"/>
      <c r="BI8" s="9"/>
      <c r="BJ8" s="9"/>
      <c r="BK8" s="9"/>
      <c r="BL8" s="26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</row>
    <row r="9" spans="4:114" x14ac:dyDescent="0.25">
      <c r="D9" s="14"/>
      <c r="E9" s="19" t="str">
        <f>HYPERLINK(E6,"   KOPIA ZAPASOWA             ")</f>
        <v xml:space="preserve">   KOPIA ZAPASOWA             </v>
      </c>
      <c r="F9" s="14"/>
      <c r="G9" s="14"/>
      <c r="H9" s="14"/>
      <c r="I9" s="14"/>
      <c r="J9" s="14"/>
      <c r="K9" s="25"/>
      <c r="L9" s="9"/>
      <c r="M9" s="9"/>
      <c r="N9" s="9"/>
      <c r="O9" s="9"/>
      <c r="P9" s="9"/>
      <c r="Q9" s="9"/>
      <c r="R9" s="9"/>
      <c r="S9" s="26"/>
      <c r="T9" s="14"/>
      <c r="U9" s="14"/>
      <c r="V9" s="14"/>
      <c r="W9" s="14"/>
      <c r="X9" s="14"/>
      <c r="Y9" s="14"/>
      <c r="Z9" s="25"/>
      <c r="AA9" s="9"/>
      <c r="AB9" s="9"/>
      <c r="AC9" s="9"/>
      <c r="AD9" s="9"/>
      <c r="AE9" s="9"/>
      <c r="AF9" s="9"/>
      <c r="AG9" s="9"/>
      <c r="AH9" s="9"/>
      <c r="AI9" s="26"/>
      <c r="AJ9" s="14"/>
      <c r="AK9" s="14"/>
      <c r="AL9" s="14"/>
      <c r="AM9" s="14"/>
      <c r="AN9" s="14"/>
      <c r="AO9" s="14"/>
      <c r="AP9" s="25"/>
      <c r="AQ9" s="9"/>
      <c r="AR9" s="9"/>
      <c r="AS9" s="9"/>
      <c r="AT9" s="9"/>
      <c r="AU9" s="9"/>
      <c r="AV9" s="9"/>
      <c r="AW9" s="9"/>
      <c r="AX9" s="26"/>
      <c r="AY9" s="14"/>
      <c r="AZ9" s="14"/>
      <c r="BA9" s="14"/>
      <c r="BB9" s="14"/>
      <c r="BC9" s="14"/>
      <c r="BD9" s="25"/>
      <c r="BE9" s="9"/>
      <c r="BF9" s="9"/>
      <c r="BG9" s="9"/>
      <c r="BH9" s="9"/>
      <c r="BI9" s="9"/>
      <c r="BJ9" s="9"/>
      <c r="BK9" s="9"/>
      <c r="BL9" s="26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</row>
    <row r="10" spans="4:114" x14ac:dyDescent="0.25">
      <c r="D10" s="14"/>
      <c r="E10" s="19" t="str">
        <f>HYPERLINK(E6,"   INNE USTAWIENIA             ")</f>
        <v xml:space="preserve">   INNE USTAWIENIA             </v>
      </c>
      <c r="F10" s="14"/>
      <c r="G10" s="14"/>
      <c r="H10" s="14"/>
      <c r="I10" s="14"/>
      <c r="J10" s="14"/>
      <c r="K10" s="25"/>
      <c r="L10" s="9"/>
      <c r="M10" s="9"/>
      <c r="N10" s="9"/>
      <c r="O10" s="9"/>
      <c r="P10" s="9"/>
      <c r="Q10" s="9"/>
      <c r="R10" s="9"/>
      <c r="S10" s="26"/>
      <c r="T10" s="14"/>
      <c r="U10" s="14"/>
      <c r="V10" s="14"/>
      <c r="W10" s="14"/>
      <c r="X10" s="14"/>
      <c r="Y10" s="14"/>
      <c r="Z10" s="25"/>
      <c r="AA10" s="9"/>
      <c r="AB10" s="9"/>
      <c r="AC10" s="9"/>
      <c r="AD10" s="9"/>
      <c r="AE10" s="9"/>
      <c r="AF10" s="9"/>
      <c r="AG10" s="9"/>
      <c r="AH10" s="9"/>
      <c r="AI10" s="26"/>
      <c r="AJ10" s="14"/>
      <c r="AK10" s="14"/>
      <c r="AL10" s="14"/>
      <c r="AM10" s="14"/>
      <c r="AN10" s="14"/>
      <c r="AO10" s="14"/>
      <c r="AP10" s="25"/>
      <c r="AQ10" s="9"/>
      <c r="AR10" s="9"/>
      <c r="AS10" s="9"/>
      <c r="AT10" s="9"/>
      <c r="AU10" s="9"/>
      <c r="AV10" s="9"/>
      <c r="AW10" s="9"/>
      <c r="AX10" s="26"/>
      <c r="AY10" s="14"/>
      <c r="AZ10" s="14"/>
      <c r="BA10" s="14"/>
      <c r="BB10" s="14"/>
      <c r="BC10" s="14"/>
      <c r="BD10" s="25"/>
      <c r="BE10" s="9"/>
      <c r="BF10" s="9"/>
      <c r="BG10" s="9"/>
      <c r="BH10" s="9"/>
      <c r="BI10" s="9"/>
      <c r="BJ10" s="9"/>
      <c r="BK10" s="9"/>
      <c r="BL10" s="26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</row>
    <row r="11" spans="4:114" x14ac:dyDescent="0.25">
      <c r="D11" s="14"/>
      <c r="E11" s="15"/>
      <c r="F11" s="14"/>
      <c r="G11" s="14"/>
      <c r="H11" s="14"/>
      <c r="I11" s="14"/>
      <c r="J11" s="14"/>
      <c r="K11" s="25"/>
      <c r="L11" s="29" t="s">
        <v>37</v>
      </c>
      <c r="M11" s="29" t="s">
        <v>38</v>
      </c>
      <c r="N11" s="9"/>
      <c r="O11" s="9" t="s">
        <v>39</v>
      </c>
      <c r="P11" s="9"/>
      <c r="Q11" s="9"/>
      <c r="R11" s="30">
        <f>COUNTA(L:L)-3</f>
        <v>0</v>
      </c>
      <c r="S11" s="26"/>
      <c r="T11" s="14"/>
      <c r="U11" s="14"/>
      <c r="V11" s="14"/>
      <c r="W11" s="14"/>
      <c r="X11" s="14"/>
      <c r="Y11" s="14"/>
      <c r="Z11" s="25"/>
      <c r="AA11" s="29" t="s">
        <v>42</v>
      </c>
      <c r="AB11" s="29" t="s">
        <v>43</v>
      </c>
      <c r="AC11" s="29" t="s">
        <v>8</v>
      </c>
      <c r="AD11" s="9"/>
      <c r="AE11" s="9" t="s">
        <v>46</v>
      </c>
      <c r="AF11" s="9"/>
      <c r="AG11" s="9"/>
      <c r="AH11" s="30">
        <f>COUNTA(AA:AA)-3</f>
        <v>0</v>
      </c>
      <c r="AI11" s="26"/>
      <c r="AJ11" s="14"/>
      <c r="AK11" s="14"/>
      <c r="AL11" s="14"/>
      <c r="AM11" s="14"/>
      <c r="AN11" s="14"/>
      <c r="AO11" s="14"/>
      <c r="AP11" s="25"/>
      <c r="AQ11" s="9"/>
      <c r="AR11" s="9"/>
      <c r="AS11" s="9"/>
      <c r="AT11" s="9"/>
      <c r="AU11" s="9"/>
      <c r="AV11" s="9"/>
      <c r="AW11" s="9"/>
      <c r="AX11" s="26"/>
      <c r="AY11" s="14"/>
      <c r="AZ11" s="14"/>
      <c r="BA11" s="14"/>
      <c r="BB11" s="14"/>
      <c r="BC11" s="14"/>
      <c r="BD11" s="25"/>
      <c r="BE11" s="9"/>
      <c r="BF11" s="9"/>
      <c r="BG11" s="9"/>
      <c r="BH11" s="9"/>
      <c r="BI11" s="9"/>
      <c r="BJ11" s="9"/>
      <c r="BK11" s="9"/>
      <c r="BL11" s="26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</row>
    <row r="12" spans="4:114" ht="15.75" thickBot="1" x14ac:dyDescent="0.3">
      <c r="D12" s="14"/>
      <c r="E12" s="15"/>
      <c r="F12" s="14"/>
      <c r="G12" s="14"/>
      <c r="H12" s="14"/>
      <c r="I12" s="14"/>
      <c r="J12" s="14"/>
      <c r="K12" s="25"/>
      <c r="L12" s="34"/>
      <c r="M12" s="34"/>
      <c r="N12" s="9"/>
      <c r="O12" s="9"/>
      <c r="P12" s="9"/>
      <c r="Q12" s="9"/>
      <c r="R12" s="9"/>
      <c r="S12" s="26"/>
      <c r="T12" s="14"/>
      <c r="U12" s="14"/>
      <c r="V12" s="14"/>
      <c r="W12" s="14"/>
      <c r="X12" s="14"/>
      <c r="Y12" s="14"/>
      <c r="Z12" s="25"/>
      <c r="AA12" s="34"/>
      <c r="AB12" s="35"/>
      <c r="AC12" s="36"/>
      <c r="AD12" s="9"/>
      <c r="AE12" s="9"/>
      <c r="AF12" s="9"/>
      <c r="AG12" s="9"/>
      <c r="AH12" s="9"/>
      <c r="AI12" s="26"/>
      <c r="AJ12" s="14"/>
      <c r="AK12" s="14"/>
      <c r="AL12" s="14"/>
      <c r="AM12" s="14"/>
      <c r="AN12" s="14"/>
      <c r="AO12" s="14"/>
      <c r="AP12" s="25"/>
      <c r="AQ12" s="9" t="s">
        <v>47</v>
      </c>
      <c r="AR12" s="9"/>
      <c r="AS12" s="9"/>
      <c r="AT12" s="150">
        <v>45047.902349537035</v>
      </c>
      <c r="AU12" s="150"/>
      <c r="AV12" s="9"/>
      <c r="AW12" s="9"/>
      <c r="AX12" s="26"/>
      <c r="AY12" s="14"/>
      <c r="AZ12" s="14"/>
      <c r="BA12" s="14"/>
      <c r="BB12" s="14"/>
      <c r="BC12" s="14"/>
      <c r="BD12" s="25"/>
      <c r="BE12" s="9"/>
      <c r="BF12" s="9"/>
      <c r="BG12" s="9"/>
      <c r="BH12" s="9"/>
      <c r="BI12" s="9"/>
      <c r="BJ12" s="9"/>
      <c r="BK12" s="9"/>
      <c r="BL12" s="26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</row>
    <row r="13" spans="4:114" ht="15" customHeight="1" thickTop="1" x14ac:dyDescent="0.25">
      <c r="D13" s="14"/>
      <c r="E13" s="15"/>
      <c r="F13" s="14"/>
      <c r="G13" s="14"/>
      <c r="H13" s="14"/>
      <c r="I13" s="14"/>
      <c r="J13" s="14"/>
      <c r="K13" s="25"/>
      <c r="L13" s="34"/>
      <c r="M13" s="34"/>
      <c r="N13" s="9"/>
      <c r="O13" s="149" t="s">
        <v>40</v>
      </c>
      <c r="P13" s="149"/>
      <c r="Q13" s="149"/>
      <c r="R13" s="149"/>
      <c r="S13" s="26"/>
      <c r="T13" s="14"/>
      <c r="U13" s="14"/>
      <c r="V13" s="14"/>
      <c r="W13" s="14"/>
      <c r="X13" s="14"/>
      <c r="Y13" s="14"/>
      <c r="Z13" s="25"/>
      <c r="AA13" s="34"/>
      <c r="AB13" s="35"/>
      <c r="AC13" s="36"/>
      <c r="AD13" s="9"/>
      <c r="AE13" s="149" t="s">
        <v>45</v>
      </c>
      <c r="AF13" s="149"/>
      <c r="AG13" s="149"/>
      <c r="AH13" s="149"/>
      <c r="AI13" s="26"/>
      <c r="AJ13" s="14"/>
      <c r="AK13" s="14"/>
      <c r="AL13" s="14"/>
      <c r="AM13" s="14"/>
      <c r="AN13" s="14"/>
      <c r="AO13" s="14"/>
      <c r="AP13" s="25"/>
      <c r="AQ13" s="9"/>
      <c r="AR13" s="9"/>
      <c r="AS13" s="9"/>
      <c r="AT13" s="9"/>
      <c r="AU13" s="9"/>
      <c r="AV13" s="9"/>
      <c r="AW13" s="9"/>
      <c r="AX13" s="26"/>
      <c r="AY13" s="14"/>
      <c r="AZ13" s="14"/>
      <c r="BA13" s="14"/>
      <c r="BB13" s="14"/>
      <c r="BC13" s="14"/>
      <c r="BD13" s="25"/>
      <c r="BE13" s="9"/>
      <c r="BF13" s="9"/>
      <c r="BG13" s="9"/>
      <c r="BH13" s="9"/>
      <c r="BI13" s="9"/>
      <c r="BJ13" s="9"/>
      <c r="BK13" s="9"/>
      <c r="BL13" s="26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</row>
    <row r="14" spans="4:114" ht="15.75" customHeight="1" x14ac:dyDescent="0.25">
      <c r="D14" s="14"/>
      <c r="E14" s="15"/>
      <c r="F14" s="14"/>
      <c r="G14" s="14"/>
      <c r="H14" s="14"/>
      <c r="I14" s="14"/>
      <c r="J14" s="14"/>
      <c r="K14" s="25"/>
      <c r="L14" s="34"/>
      <c r="M14" s="34"/>
      <c r="N14" s="9"/>
      <c r="O14" s="149"/>
      <c r="P14" s="149"/>
      <c r="Q14" s="149"/>
      <c r="R14" s="149"/>
      <c r="S14" s="26"/>
      <c r="T14" s="14"/>
      <c r="U14" s="14"/>
      <c r="V14" s="14"/>
      <c r="W14" s="14"/>
      <c r="X14" s="14"/>
      <c r="Y14" s="14"/>
      <c r="Z14" s="25"/>
      <c r="AA14" s="34"/>
      <c r="AB14" s="35"/>
      <c r="AC14" s="36"/>
      <c r="AD14" s="9"/>
      <c r="AE14" s="149"/>
      <c r="AF14" s="149"/>
      <c r="AG14" s="149"/>
      <c r="AH14" s="149"/>
      <c r="AI14" s="26"/>
      <c r="AJ14" s="14"/>
      <c r="AK14" s="14"/>
      <c r="AL14" s="14"/>
      <c r="AM14" s="14"/>
      <c r="AN14" s="14"/>
      <c r="AO14" s="14"/>
      <c r="AP14" s="25"/>
      <c r="AQ14" s="9" t="s">
        <v>48</v>
      </c>
      <c r="AR14" s="9"/>
      <c r="AS14" s="9"/>
      <c r="AT14" s="145" t="s">
        <v>51</v>
      </c>
      <c r="AU14" s="145"/>
      <c r="AV14" s="145"/>
      <c r="AW14" s="145"/>
      <c r="AX14" s="26"/>
      <c r="AY14" s="14"/>
      <c r="AZ14" s="14"/>
      <c r="BA14" s="14"/>
      <c r="BB14" s="14"/>
      <c r="BC14" s="14"/>
      <c r="BD14" s="25"/>
      <c r="BE14" s="9"/>
      <c r="BF14" s="9"/>
      <c r="BG14" s="9"/>
      <c r="BH14" s="9"/>
      <c r="BI14" s="9"/>
      <c r="BJ14" s="9"/>
      <c r="BK14" s="9"/>
      <c r="BL14" s="26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</row>
    <row r="15" spans="4:114" x14ac:dyDescent="0.25">
      <c r="D15" s="14"/>
      <c r="E15" s="15"/>
      <c r="F15" s="14"/>
      <c r="G15" s="14"/>
      <c r="H15" s="14"/>
      <c r="I15" s="14"/>
      <c r="J15" s="14"/>
      <c r="K15" s="25"/>
      <c r="L15" s="34"/>
      <c r="M15" s="34"/>
      <c r="N15" s="9"/>
      <c r="O15" s="9"/>
      <c r="P15" s="9"/>
      <c r="Q15" s="9"/>
      <c r="R15" s="9"/>
      <c r="S15" s="26"/>
      <c r="T15" s="14"/>
      <c r="U15" s="14"/>
      <c r="V15" s="14"/>
      <c r="W15" s="14"/>
      <c r="X15" s="14"/>
      <c r="Y15" s="14"/>
      <c r="Z15" s="25"/>
      <c r="AA15" s="34"/>
      <c r="AB15" s="35"/>
      <c r="AC15" s="36" t="str">
        <f t="shared" ref="AC15:AC76" si="0">IF(AB15="","",MID(AB15,14,IFERROR(FIND(", Powiat",AB15,1),FIND(", Powiat",AB15,1))-LEN("Województwo: ")-1))</f>
        <v/>
      </c>
      <c r="AD15" s="9"/>
      <c r="AE15" s="9"/>
      <c r="AF15" s="9"/>
      <c r="AG15" s="9"/>
      <c r="AH15" s="9"/>
      <c r="AI15" s="26"/>
      <c r="AJ15" s="14"/>
      <c r="AK15" s="14"/>
      <c r="AL15" s="14"/>
      <c r="AM15" s="14"/>
      <c r="AN15" s="14"/>
      <c r="AO15" s="14"/>
      <c r="AP15" s="25"/>
      <c r="AQ15" s="9"/>
      <c r="AR15" s="9"/>
      <c r="AS15" s="9"/>
      <c r="AT15" s="146"/>
      <c r="AU15" s="146"/>
      <c r="AV15" s="146"/>
      <c r="AW15" s="146"/>
      <c r="AX15" s="26"/>
      <c r="AY15" s="14"/>
      <c r="AZ15" s="14"/>
      <c r="BA15" s="14"/>
      <c r="BB15" s="14"/>
      <c r="BC15" s="14"/>
      <c r="BD15" s="25"/>
      <c r="BE15" s="9"/>
      <c r="BF15" s="9"/>
      <c r="BG15" s="9"/>
      <c r="BH15" s="9"/>
      <c r="BI15" s="9"/>
      <c r="BJ15" s="9"/>
      <c r="BK15" s="9"/>
      <c r="BL15" s="26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</row>
    <row r="16" spans="4:114" x14ac:dyDescent="0.25">
      <c r="D16" s="14"/>
      <c r="E16" s="15"/>
      <c r="F16" s="14"/>
      <c r="G16" s="14"/>
      <c r="H16" s="14"/>
      <c r="I16" s="14"/>
      <c r="J16" s="14"/>
      <c r="K16" s="25"/>
      <c r="L16" s="34"/>
      <c r="M16" s="34"/>
      <c r="N16" s="9"/>
      <c r="O16" s="9"/>
      <c r="P16" s="9"/>
      <c r="Q16" s="9"/>
      <c r="R16" s="9"/>
      <c r="S16" s="26"/>
      <c r="T16" s="14"/>
      <c r="U16" s="14"/>
      <c r="V16" s="14"/>
      <c r="W16" s="14"/>
      <c r="X16" s="14"/>
      <c r="Y16" s="14"/>
      <c r="Z16" s="25"/>
      <c r="AA16" s="34"/>
      <c r="AB16" s="35"/>
      <c r="AC16" s="36" t="str">
        <f t="shared" si="0"/>
        <v/>
      </c>
      <c r="AD16" s="9"/>
      <c r="AE16" s="9" t="s">
        <v>54</v>
      </c>
      <c r="AF16" s="9"/>
      <c r="AG16" s="9"/>
      <c r="AH16" s="9"/>
      <c r="AI16" s="26"/>
      <c r="AJ16" s="14"/>
      <c r="AK16" s="14"/>
      <c r="AL16" s="14"/>
      <c r="AM16" s="14"/>
      <c r="AN16" s="14"/>
      <c r="AO16" s="14"/>
      <c r="AP16" s="25"/>
      <c r="AQ16" s="9"/>
      <c r="AR16" s="9"/>
      <c r="AS16" s="9"/>
      <c r="AT16" s="147"/>
      <c r="AU16" s="147"/>
      <c r="AV16" s="147"/>
      <c r="AW16" s="147"/>
      <c r="AX16" s="26"/>
      <c r="AY16" s="14"/>
      <c r="AZ16" s="14"/>
      <c r="BA16" s="14"/>
      <c r="BB16" s="14"/>
      <c r="BC16" s="14"/>
      <c r="BD16" s="25"/>
      <c r="BE16" s="9"/>
      <c r="BF16" s="9"/>
      <c r="BG16" s="9"/>
      <c r="BH16" s="9"/>
      <c r="BI16" s="9"/>
      <c r="BJ16" s="9"/>
      <c r="BK16" s="9"/>
      <c r="BL16" s="26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</row>
    <row r="17" spans="4:114" x14ac:dyDescent="0.25">
      <c r="D17" s="14"/>
      <c r="E17" s="15"/>
      <c r="F17" s="14"/>
      <c r="G17" s="14"/>
      <c r="H17" s="14"/>
      <c r="I17" s="14"/>
      <c r="J17" s="14"/>
      <c r="K17" s="25"/>
      <c r="L17" s="34"/>
      <c r="M17" s="34"/>
      <c r="N17" s="9"/>
      <c r="O17" s="9"/>
      <c r="P17" s="9"/>
      <c r="Q17" s="9"/>
      <c r="R17" s="9"/>
      <c r="S17" s="26"/>
      <c r="T17" s="14"/>
      <c r="U17" s="14"/>
      <c r="V17" s="14"/>
      <c r="W17" s="14"/>
      <c r="X17" s="14"/>
      <c r="Y17" s="14"/>
      <c r="Z17" s="25"/>
      <c r="AA17" s="34"/>
      <c r="AB17" s="35"/>
      <c r="AC17" s="36" t="str">
        <f t="shared" si="0"/>
        <v/>
      </c>
      <c r="AD17" s="9"/>
      <c r="AE17" s="9" t="s">
        <v>55</v>
      </c>
      <c r="AF17" s="9"/>
      <c r="AG17" s="9"/>
      <c r="AH17" s="9"/>
      <c r="AI17" s="26"/>
      <c r="AJ17" s="14"/>
      <c r="AK17" s="14"/>
      <c r="AL17" s="14"/>
      <c r="AM17" s="14"/>
      <c r="AN17" s="14"/>
      <c r="AO17" s="14"/>
      <c r="AP17" s="25"/>
      <c r="AQ17" s="9"/>
      <c r="AR17" s="9"/>
      <c r="AS17" s="9"/>
      <c r="AT17" s="9"/>
      <c r="AU17" s="9"/>
      <c r="AV17" s="9"/>
      <c r="AW17" s="9"/>
      <c r="AX17" s="26"/>
      <c r="AY17" s="14"/>
      <c r="AZ17" s="14"/>
      <c r="BA17" s="14"/>
      <c r="BB17" s="14"/>
      <c r="BC17" s="14"/>
      <c r="BD17" s="25"/>
      <c r="BE17" s="9"/>
      <c r="BF17" s="9"/>
      <c r="BG17" s="9"/>
      <c r="BH17" s="9"/>
      <c r="BI17" s="9"/>
      <c r="BJ17" s="9"/>
      <c r="BK17" s="9"/>
      <c r="BL17" s="26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</row>
    <row r="18" spans="4:114" x14ac:dyDescent="0.25">
      <c r="D18" s="14"/>
      <c r="E18" s="15"/>
      <c r="F18" s="14"/>
      <c r="G18" s="14"/>
      <c r="H18" s="14"/>
      <c r="I18" s="14"/>
      <c r="J18" s="14"/>
      <c r="K18" s="25"/>
      <c r="L18" s="34"/>
      <c r="M18" s="34"/>
      <c r="N18" s="9"/>
      <c r="O18" s="9"/>
      <c r="P18" s="9"/>
      <c r="Q18" s="9"/>
      <c r="R18" s="9"/>
      <c r="S18" s="26"/>
      <c r="T18" s="14"/>
      <c r="U18" s="14"/>
      <c r="V18" s="14"/>
      <c r="W18" s="14"/>
      <c r="X18" s="14"/>
      <c r="Y18" s="14"/>
      <c r="Z18" s="25"/>
      <c r="AA18" s="34"/>
      <c r="AB18" s="35"/>
      <c r="AC18" s="36" t="str">
        <f t="shared" si="0"/>
        <v/>
      </c>
      <c r="AD18" s="9"/>
      <c r="AE18" s="9" t="s">
        <v>56</v>
      </c>
      <c r="AF18" s="9"/>
      <c r="AG18" s="9"/>
      <c r="AH18" s="9"/>
      <c r="AI18" s="26"/>
      <c r="AJ18" s="14"/>
      <c r="AK18" s="14"/>
      <c r="AL18" s="14"/>
      <c r="AM18" s="14"/>
      <c r="AN18" s="14"/>
      <c r="AO18" s="14"/>
      <c r="AP18" s="25"/>
      <c r="AQ18" s="9"/>
      <c r="AR18" s="9"/>
      <c r="AS18" s="9"/>
      <c r="AT18" s="9"/>
      <c r="AU18" s="9"/>
      <c r="AV18" s="9"/>
      <c r="AW18" s="9"/>
      <c r="AX18" s="26"/>
      <c r="AY18" s="14"/>
      <c r="AZ18" s="14"/>
      <c r="BA18" s="14"/>
      <c r="BB18" s="14"/>
      <c r="BC18" s="14"/>
      <c r="BD18" s="25"/>
      <c r="BE18" s="9"/>
      <c r="BF18" s="9"/>
      <c r="BG18" s="9"/>
      <c r="BH18" s="9"/>
      <c r="BI18" s="9"/>
      <c r="BJ18" s="9"/>
      <c r="BK18" s="9"/>
      <c r="BL18" s="26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</row>
    <row r="19" spans="4:114" x14ac:dyDescent="0.25">
      <c r="D19" s="14"/>
      <c r="E19" s="15"/>
      <c r="F19" s="14"/>
      <c r="G19" s="16"/>
      <c r="H19" s="14"/>
      <c r="I19" s="14"/>
      <c r="J19" s="14"/>
      <c r="K19" s="25"/>
      <c r="L19" s="34"/>
      <c r="M19" s="34"/>
      <c r="N19" s="9"/>
      <c r="O19" s="9"/>
      <c r="P19" s="9"/>
      <c r="Q19" s="9"/>
      <c r="R19" s="9"/>
      <c r="S19" s="26"/>
      <c r="T19" s="14"/>
      <c r="U19" s="14"/>
      <c r="V19" s="14"/>
      <c r="W19" s="14"/>
      <c r="X19" s="14"/>
      <c r="Y19" s="14"/>
      <c r="Z19" s="25"/>
      <c r="AA19" s="34"/>
      <c r="AB19" s="35"/>
      <c r="AC19" s="36" t="str">
        <f t="shared" si="0"/>
        <v/>
      </c>
      <c r="AD19" s="9"/>
      <c r="AE19" s="9" t="s">
        <v>57</v>
      </c>
      <c r="AF19" s="9"/>
      <c r="AG19" s="9"/>
      <c r="AH19" s="9"/>
      <c r="AI19" s="26"/>
      <c r="AJ19" s="14"/>
      <c r="AK19" s="14"/>
      <c r="AL19" s="14"/>
      <c r="AM19" s="14"/>
      <c r="AN19" s="14"/>
      <c r="AO19" s="14"/>
      <c r="AP19" s="25"/>
      <c r="AQ19" s="148" t="s">
        <v>50</v>
      </c>
      <c r="AR19" s="148"/>
      <c r="AS19" s="148"/>
      <c r="AT19" s="145" t="s">
        <v>49</v>
      </c>
      <c r="AU19" s="145"/>
      <c r="AV19" s="145"/>
      <c r="AW19" s="145"/>
      <c r="AX19" s="26"/>
      <c r="AY19" s="14"/>
      <c r="AZ19" s="14"/>
      <c r="BA19" s="14"/>
      <c r="BB19" s="14"/>
      <c r="BC19" s="14"/>
      <c r="BD19" s="25"/>
      <c r="BE19" s="9"/>
      <c r="BF19" s="9"/>
      <c r="BG19" s="9"/>
      <c r="BH19" s="9"/>
      <c r="BI19" s="9"/>
      <c r="BJ19" s="9"/>
      <c r="BK19" s="9"/>
      <c r="BL19" s="26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</row>
    <row r="20" spans="4:114" x14ac:dyDescent="0.25">
      <c r="D20" s="14"/>
      <c r="E20" s="15"/>
      <c r="F20" s="14"/>
      <c r="G20" s="14"/>
      <c r="H20" s="14"/>
      <c r="I20" s="14"/>
      <c r="J20" s="14"/>
      <c r="K20" s="25"/>
      <c r="L20" s="34"/>
      <c r="M20" s="34"/>
      <c r="N20" s="9"/>
      <c r="O20" s="9"/>
      <c r="P20" s="9"/>
      <c r="Q20" s="9"/>
      <c r="R20" s="9"/>
      <c r="S20" s="26"/>
      <c r="T20" s="14"/>
      <c r="U20" s="14"/>
      <c r="V20" s="14"/>
      <c r="W20" s="14"/>
      <c r="X20" s="14"/>
      <c r="Y20" s="14"/>
      <c r="Z20" s="25"/>
      <c r="AA20" s="34"/>
      <c r="AB20" s="35"/>
      <c r="AC20" s="36" t="str">
        <f t="shared" si="0"/>
        <v/>
      </c>
      <c r="AD20" s="9"/>
      <c r="AE20" s="9"/>
      <c r="AF20" s="9"/>
      <c r="AG20" s="9"/>
      <c r="AH20" s="9"/>
      <c r="AI20" s="26"/>
      <c r="AJ20" s="14"/>
      <c r="AK20" s="14"/>
      <c r="AL20" s="14"/>
      <c r="AM20" s="14"/>
      <c r="AN20" s="14"/>
      <c r="AO20" s="14"/>
      <c r="AP20" s="25"/>
      <c r="AQ20" s="148"/>
      <c r="AR20" s="148"/>
      <c r="AS20" s="148"/>
      <c r="AT20" s="146"/>
      <c r="AU20" s="146"/>
      <c r="AV20" s="146"/>
      <c r="AW20" s="146"/>
      <c r="AX20" s="26"/>
      <c r="AY20" s="14"/>
      <c r="AZ20" s="14"/>
      <c r="BA20" s="14"/>
      <c r="BB20" s="14"/>
      <c r="BC20" s="14"/>
      <c r="BD20" s="25"/>
      <c r="BE20" s="9"/>
      <c r="BF20" s="9"/>
      <c r="BG20" s="9"/>
      <c r="BH20" s="9"/>
      <c r="BI20" s="9"/>
      <c r="BJ20" s="9"/>
      <c r="BK20" s="9"/>
      <c r="BL20" s="26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</row>
    <row r="21" spans="4:114" x14ac:dyDescent="0.25">
      <c r="D21" s="14"/>
      <c r="E21" s="15"/>
      <c r="F21" s="14"/>
      <c r="G21" s="14"/>
      <c r="H21" s="14"/>
      <c r="I21" s="14"/>
      <c r="J21" s="14"/>
      <c r="K21" s="25"/>
      <c r="L21" s="34"/>
      <c r="M21" s="34"/>
      <c r="N21" s="9"/>
      <c r="O21" s="9"/>
      <c r="P21" s="9"/>
      <c r="Q21" s="9"/>
      <c r="R21" s="9"/>
      <c r="S21" s="26"/>
      <c r="T21" s="14"/>
      <c r="U21" s="14"/>
      <c r="V21" s="14"/>
      <c r="W21" s="14"/>
      <c r="X21" s="14"/>
      <c r="Y21" s="14"/>
      <c r="Z21" s="25"/>
      <c r="AA21" s="34"/>
      <c r="AB21" s="35"/>
      <c r="AC21" s="36" t="str">
        <f t="shared" si="0"/>
        <v/>
      </c>
      <c r="AD21" s="9"/>
      <c r="AE21" s="9"/>
      <c r="AF21" s="9"/>
      <c r="AG21" s="9"/>
      <c r="AH21" s="9"/>
      <c r="AI21" s="26"/>
      <c r="AJ21" s="14"/>
      <c r="AK21" s="14"/>
      <c r="AL21" s="14"/>
      <c r="AM21" s="14"/>
      <c r="AN21" s="14"/>
      <c r="AO21" s="14"/>
      <c r="AP21" s="25"/>
      <c r="AQ21" s="148"/>
      <c r="AR21" s="148"/>
      <c r="AS21" s="148"/>
      <c r="AT21" s="147"/>
      <c r="AU21" s="147"/>
      <c r="AV21" s="147"/>
      <c r="AW21" s="147"/>
      <c r="AX21" s="26"/>
      <c r="AY21" s="14"/>
      <c r="AZ21" s="14"/>
      <c r="BA21" s="14"/>
      <c r="BB21" s="14"/>
      <c r="BC21" s="14"/>
      <c r="BD21" s="25"/>
      <c r="BE21" s="9"/>
      <c r="BF21" s="9"/>
      <c r="BG21" s="9"/>
      <c r="BH21" s="9"/>
      <c r="BI21" s="9"/>
      <c r="BJ21" s="9"/>
      <c r="BK21" s="9"/>
      <c r="BL21" s="26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</row>
    <row r="22" spans="4:114" x14ac:dyDescent="0.25">
      <c r="D22" s="14"/>
      <c r="E22" s="15"/>
      <c r="F22" s="14"/>
      <c r="G22" s="14"/>
      <c r="H22" s="14"/>
      <c r="I22" s="14"/>
      <c r="J22" s="14"/>
      <c r="K22" s="25"/>
      <c r="L22" s="34"/>
      <c r="M22" s="34"/>
      <c r="N22" s="9"/>
      <c r="O22" s="9"/>
      <c r="P22" s="9"/>
      <c r="Q22" s="9"/>
      <c r="R22" s="9"/>
      <c r="S22" s="26"/>
      <c r="T22" s="14"/>
      <c r="U22" s="14"/>
      <c r="V22" s="14"/>
      <c r="W22" s="14"/>
      <c r="X22" s="14"/>
      <c r="Y22" s="14"/>
      <c r="Z22" s="25"/>
      <c r="AA22" s="34"/>
      <c r="AB22" s="35"/>
      <c r="AC22" s="36" t="str">
        <f t="shared" si="0"/>
        <v/>
      </c>
      <c r="AD22" s="9"/>
      <c r="AE22" s="9"/>
      <c r="AF22" s="9"/>
      <c r="AG22" s="9"/>
      <c r="AH22" s="9"/>
      <c r="AI22" s="26"/>
      <c r="AJ22" s="14"/>
      <c r="AK22" s="14"/>
      <c r="AL22" s="14"/>
      <c r="AM22" s="14"/>
      <c r="AN22" s="14"/>
      <c r="AO22" s="14"/>
      <c r="AP22" s="25"/>
      <c r="AQ22" s="9"/>
      <c r="AR22" s="9"/>
      <c r="AS22" s="9"/>
      <c r="AT22" s="9"/>
      <c r="AU22" s="9"/>
      <c r="AV22" s="9"/>
      <c r="AW22" s="9"/>
      <c r="AX22" s="26"/>
      <c r="AY22" s="14"/>
      <c r="AZ22" s="14"/>
      <c r="BA22" s="14"/>
      <c r="BB22" s="14"/>
      <c r="BC22" s="14"/>
      <c r="BD22" s="25"/>
      <c r="BE22" s="9"/>
      <c r="BF22" s="9"/>
      <c r="BG22" s="9"/>
      <c r="BH22" s="9"/>
      <c r="BI22" s="9"/>
      <c r="BJ22" s="9"/>
      <c r="BK22" s="9"/>
      <c r="BL22" s="26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</row>
    <row r="23" spans="4:114" x14ac:dyDescent="0.25">
      <c r="D23" s="14"/>
      <c r="E23" s="15"/>
      <c r="F23" s="14"/>
      <c r="G23" s="14"/>
      <c r="H23" s="14"/>
      <c r="I23" s="14"/>
      <c r="J23" s="14"/>
      <c r="K23" s="25"/>
      <c r="L23" s="34"/>
      <c r="M23" s="34"/>
      <c r="N23" s="9"/>
      <c r="O23" s="9"/>
      <c r="P23" s="9"/>
      <c r="Q23" s="9"/>
      <c r="R23" s="9"/>
      <c r="S23" s="26"/>
      <c r="T23" s="14"/>
      <c r="U23" s="14"/>
      <c r="V23" s="14"/>
      <c r="W23" s="14"/>
      <c r="X23" s="14"/>
      <c r="Y23" s="14"/>
      <c r="Z23" s="25"/>
      <c r="AA23" s="34"/>
      <c r="AB23" s="35"/>
      <c r="AC23" s="36" t="str">
        <f t="shared" si="0"/>
        <v/>
      </c>
      <c r="AD23" s="9"/>
      <c r="AE23" s="9"/>
      <c r="AF23" s="9"/>
      <c r="AG23" s="9"/>
      <c r="AH23" s="9"/>
      <c r="AI23" s="26"/>
      <c r="AJ23" s="14"/>
      <c r="AK23" s="14"/>
      <c r="AL23" s="14"/>
      <c r="AM23" s="14"/>
      <c r="AN23" s="14"/>
      <c r="AO23" s="14"/>
      <c r="AP23" s="25"/>
      <c r="AQ23" s="9"/>
      <c r="AR23" s="9"/>
      <c r="AS23" s="9"/>
      <c r="AT23" s="9"/>
      <c r="AU23" s="9"/>
      <c r="AV23" s="9"/>
      <c r="AW23" s="9"/>
      <c r="AX23" s="26"/>
      <c r="AY23" s="14"/>
      <c r="AZ23" s="14"/>
      <c r="BA23" s="14"/>
      <c r="BB23" s="14"/>
      <c r="BC23" s="14"/>
      <c r="BD23" s="25"/>
      <c r="BE23" s="9"/>
      <c r="BF23" s="9"/>
      <c r="BG23" s="9"/>
      <c r="BH23" s="9"/>
      <c r="BI23" s="9"/>
      <c r="BJ23" s="9"/>
      <c r="BK23" s="9"/>
      <c r="BL23" s="26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</row>
    <row r="24" spans="4:114" x14ac:dyDescent="0.25">
      <c r="D24" s="14"/>
      <c r="E24" s="15"/>
      <c r="F24" s="14"/>
      <c r="G24" s="14"/>
      <c r="H24" s="14"/>
      <c r="I24" s="14"/>
      <c r="J24" s="14"/>
      <c r="K24" s="25"/>
      <c r="L24" s="34"/>
      <c r="M24" s="34"/>
      <c r="N24" s="9"/>
      <c r="O24" s="9"/>
      <c r="P24" s="9"/>
      <c r="Q24" s="9"/>
      <c r="R24" s="9"/>
      <c r="S24" s="26"/>
      <c r="T24" s="14"/>
      <c r="U24" s="14"/>
      <c r="V24" s="14"/>
      <c r="W24" s="14"/>
      <c r="X24" s="14"/>
      <c r="Y24" s="14"/>
      <c r="Z24" s="25"/>
      <c r="AA24" s="34"/>
      <c r="AB24" s="35"/>
      <c r="AC24" s="36" t="str">
        <f t="shared" si="0"/>
        <v/>
      </c>
      <c r="AD24" s="9"/>
      <c r="AE24" s="9"/>
      <c r="AF24" s="9"/>
      <c r="AG24" s="9"/>
      <c r="AH24" s="9"/>
      <c r="AI24" s="26"/>
      <c r="AJ24" s="14"/>
      <c r="AK24" s="14"/>
      <c r="AL24" s="14"/>
      <c r="AM24" s="14"/>
      <c r="AN24" s="14"/>
      <c r="AO24" s="14"/>
      <c r="AP24" s="25"/>
      <c r="AQ24" s="9"/>
      <c r="AR24" s="9"/>
      <c r="AS24" s="9"/>
      <c r="AT24" s="9"/>
      <c r="AU24" s="9"/>
      <c r="AV24" s="9"/>
      <c r="AW24" s="9"/>
      <c r="AX24" s="26"/>
      <c r="AY24" s="14"/>
      <c r="AZ24" s="14"/>
      <c r="BA24" s="14"/>
      <c r="BB24" s="14"/>
      <c r="BC24" s="14"/>
      <c r="BD24" s="25"/>
      <c r="BE24" s="9"/>
      <c r="BF24" s="9"/>
      <c r="BG24" s="9"/>
      <c r="BH24" s="9"/>
      <c r="BI24" s="9"/>
      <c r="BJ24" s="9"/>
      <c r="BK24" s="9"/>
      <c r="BL24" s="26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</row>
    <row r="25" spans="4:114" x14ac:dyDescent="0.25">
      <c r="D25" s="14"/>
      <c r="E25" s="15"/>
      <c r="F25" s="14"/>
      <c r="G25" s="14"/>
      <c r="H25" s="14"/>
      <c r="I25" s="14"/>
      <c r="J25" s="14"/>
      <c r="K25" s="25"/>
      <c r="L25" s="34"/>
      <c r="M25" s="34"/>
      <c r="N25" s="9"/>
      <c r="O25" s="9"/>
      <c r="P25" s="9"/>
      <c r="Q25" s="9"/>
      <c r="R25" s="9"/>
      <c r="S25" s="26"/>
      <c r="T25" s="14"/>
      <c r="U25" s="14"/>
      <c r="V25" s="14"/>
      <c r="W25" s="14"/>
      <c r="X25" s="14"/>
      <c r="Y25" s="14"/>
      <c r="Z25" s="25"/>
      <c r="AA25" s="34"/>
      <c r="AB25" s="35"/>
      <c r="AC25" s="36" t="str">
        <f t="shared" si="0"/>
        <v/>
      </c>
      <c r="AD25" s="9"/>
      <c r="AE25" s="9"/>
      <c r="AF25" s="9"/>
      <c r="AG25" s="9"/>
      <c r="AH25" s="9"/>
      <c r="AI25" s="26"/>
      <c r="AJ25" s="14"/>
      <c r="AK25" s="14"/>
      <c r="AL25" s="14"/>
      <c r="AM25" s="14"/>
      <c r="AN25" s="14"/>
      <c r="AO25" s="14"/>
      <c r="AP25" s="25"/>
      <c r="AQ25" s="9"/>
      <c r="AR25" s="9"/>
      <c r="AS25" s="9"/>
      <c r="AT25" s="9"/>
      <c r="AU25" s="9"/>
      <c r="AV25" s="9"/>
      <c r="AW25" s="9"/>
      <c r="AX25" s="26"/>
      <c r="AY25" s="14"/>
      <c r="AZ25" s="14"/>
      <c r="BA25" s="14"/>
      <c r="BB25" s="14"/>
      <c r="BC25" s="14"/>
      <c r="BD25" s="25"/>
      <c r="BE25" s="9"/>
      <c r="BF25" s="9"/>
      <c r="BG25" s="9"/>
      <c r="BH25" s="9"/>
      <c r="BI25" s="9"/>
      <c r="BJ25" s="9"/>
      <c r="BK25" s="9"/>
      <c r="BL25" s="26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</row>
    <row r="26" spans="4:114" x14ac:dyDescent="0.25">
      <c r="D26" s="14"/>
      <c r="E26" s="15"/>
      <c r="F26" s="14"/>
      <c r="G26" s="14"/>
      <c r="H26" s="14"/>
      <c r="I26" s="14"/>
      <c r="J26" s="14"/>
      <c r="K26" s="25"/>
      <c r="L26" s="34"/>
      <c r="M26" s="34"/>
      <c r="N26" s="9"/>
      <c r="O26" s="9"/>
      <c r="P26" s="9"/>
      <c r="Q26" s="9"/>
      <c r="R26" s="9"/>
      <c r="S26" s="26"/>
      <c r="T26" s="14"/>
      <c r="U26" s="14"/>
      <c r="V26" s="14"/>
      <c r="W26" s="14"/>
      <c r="X26" s="14"/>
      <c r="Y26" s="14"/>
      <c r="Z26" s="25"/>
      <c r="AA26" s="34"/>
      <c r="AB26" s="35"/>
      <c r="AC26" s="36" t="str">
        <f t="shared" si="0"/>
        <v/>
      </c>
      <c r="AD26" s="9"/>
      <c r="AE26" s="9"/>
      <c r="AF26" s="9"/>
      <c r="AG26" s="9"/>
      <c r="AH26" s="9"/>
      <c r="AI26" s="26"/>
      <c r="AJ26" s="14"/>
      <c r="AK26" s="14"/>
      <c r="AL26" s="14"/>
      <c r="AM26" s="14"/>
      <c r="AN26" s="14"/>
      <c r="AO26" s="14"/>
      <c r="AP26" s="25"/>
      <c r="AQ26" s="9"/>
      <c r="AR26" s="9"/>
      <c r="AS26" s="9"/>
      <c r="AT26" s="9"/>
      <c r="AU26" s="9"/>
      <c r="AV26" s="9"/>
      <c r="AW26" s="9"/>
      <c r="AX26" s="26"/>
      <c r="AY26" s="14"/>
      <c r="AZ26" s="14"/>
      <c r="BA26" s="14"/>
      <c r="BB26" s="14"/>
      <c r="BC26" s="14"/>
      <c r="BD26" s="25"/>
      <c r="BE26" s="9"/>
      <c r="BF26" s="9"/>
      <c r="BG26" s="9"/>
      <c r="BH26" s="9"/>
      <c r="BI26" s="9"/>
      <c r="BJ26" s="9"/>
      <c r="BK26" s="9"/>
      <c r="BL26" s="26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</row>
    <row r="27" spans="4:114" x14ac:dyDescent="0.25">
      <c r="D27" s="14"/>
      <c r="E27" s="15"/>
      <c r="F27" s="14"/>
      <c r="G27" s="14"/>
      <c r="H27" s="14"/>
      <c r="I27" s="14"/>
      <c r="J27" s="14"/>
      <c r="K27" s="25"/>
      <c r="L27" s="34"/>
      <c r="M27" s="34"/>
      <c r="N27" s="9"/>
      <c r="O27" s="9"/>
      <c r="P27" s="9"/>
      <c r="Q27" s="9"/>
      <c r="R27" s="9"/>
      <c r="S27" s="26"/>
      <c r="T27" s="14"/>
      <c r="U27" s="14"/>
      <c r="V27" s="14"/>
      <c r="W27" s="14"/>
      <c r="X27" s="14"/>
      <c r="Y27" s="14"/>
      <c r="Z27" s="25"/>
      <c r="AA27" s="34"/>
      <c r="AB27" s="35"/>
      <c r="AC27" s="36" t="str">
        <f t="shared" si="0"/>
        <v/>
      </c>
      <c r="AD27" s="9"/>
      <c r="AE27" s="9"/>
      <c r="AF27" s="9"/>
      <c r="AG27" s="9"/>
      <c r="AH27" s="9"/>
      <c r="AI27" s="26"/>
      <c r="AJ27" s="14"/>
      <c r="AK27" s="14"/>
      <c r="AL27" s="14"/>
      <c r="AM27" s="14"/>
      <c r="AN27" s="14"/>
      <c r="AO27" s="14"/>
      <c r="AP27" s="25"/>
      <c r="AQ27" s="9"/>
      <c r="AR27" s="9"/>
      <c r="AS27" s="9"/>
      <c r="AT27" s="9"/>
      <c r="AU27" s="9"/>
      <c r="AV27" s="9"/>
      <c r="AW27" s="9"/>
      <c r="AX27" s="26"/>
      <c r="AY27" s="14"/>
      <c r="AZ27" s="14"/>
      <c r="BA27" s="14"/>
      <c r="BB27" s="14"/>
      <c r="BC27" s="14"/>
      <c r="BD27" s="25"/>
      <c r="BE27" s="9"/>
      <c r="BF27" s="9"/>
      <c r="BG27" s="9"/>
      <c r="BH27" s="9"/>
      <c r="BI27" s="9"/>
      <c r="BJ27" s="9"/>
      <c r="BK27" s="9"/>
      <c r="BL27" s="26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</row>
    <row r="28" spans="4:114" x14ac:dyDescent="0.25">
      <c r="D28" s="14"/>
      <c r="E28" s="15"/>
      <c r="F28" s="14"/>
      <c r="G28" s="14"/>
      <c r="H28" s="14"/>
      <c r="I28" s="14"/>
      <c r="J28" s="14"/>
      <c r="K28" s="25"/>
      <c r="L28" s="34"/>
      <c r="M28" s="34"/>
      <c r="N28" s="9"/>
      <c r="O28" s="9"/>
      <c r="P28" s="9"/>
      <c r="Q28" s="9"/>
      <c r="R28" s="9"/>
      <c r="S28" s="26"/>
      <c r="T28" s="14"/>
      <c r="U28" s="14"/>
      <c r="V28" s="14"/>
      <c r="W28" s="14"/>
      <c r="X28" s="14"/>
      <c r="Y28" s="14"/>
      <c r="Z28" s="25"/>
      <c r="AA28" s="34"/>
      <c r="AB28" s="35"/>
      <c r="AC28" s="36" t="str">
        <f t="shared" si="0"/>
        <v/>
      </c>
      <c r="AD28" s="9"/>
      <c r="AE28" s="9"/>
      <c r="AF28" s="9"/>
      <c r="AG28" s="9"/>
      <c r="AH28" s="9"/>
      <c r="AI28" s="26"/>
      <c r="AJ28" s="14"/>
      <c r="AK28" s="14"/>
      <c r="AL28" s="14"/>
      <c r="AM28" s="14"/>
      <c r="AN28" s="14"/>
      <c r="AO28" s="14"/>
      <c r="AP28" s="25"/>
      <c r="AQ28" s="9"/>
      <c r="AR28" s="9"/>
      <c r="AS28" s="9"/>
      <c r="AT28" s="9"/>
      <c r="AU28" s="9"/>
      <c r="AV28" s="9"/>
      <c r="AW28" s="9"/>
      <c r="AX28" s="26"/>
      <c r="AY28" s="14"/>
      <c r="AZ28" s="14"/>
      <c r="BA28" s="14"/>
      <c r="BB28" s="14"/>
      <c r="BC28" s="14"/>
      <c r="BD28" s="25"/>
      <c r="BE28" s="9"/>
      <c r="BF28" s="9"/>
      <c r="BG28" s="9"/>
      <c r="BH28" s="9"/>
      <c r="BI28" s="9"/>
      <c r="BJ28" s="9"/>
      <c r="BK28" s="9"/>
      <c r="BL28" s="26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</row>
    <row r="29" spans="4:114" x14ac:dyDescent="0.25">
      <c r="D29" s="14"/>
      <c r="E29" s="15"/>
      <c r="F29" s="14"/>
      <c r="G29" s="14"/>
      <c r="H29" s="14"/>
      <c r="I29" s="14"/>
      <c r="J29" s="14"/>
      <c r="K29" s="25"/>
      <c r="L29" s="34"/>
      <c r="M29" s="34"/>
      <c r="N29" s="9"/>
      <c r="O29" s="9"/>
      <c r="P29" s="9"/>
      <c r="Q29" s="9"/>
      <c r="R29" s="9"/>
      <c r="S29" s="26"/>
      <c r="T29" s="14"/>
      <c r="U29" s="14"/>
      <c r="V29" s="14"/>
      <c r="W29" s="14"/>
      <c r="X29" s="14"/>
      <c r="Y29" s="14"/>
      <c r="Z29" s="25"/>
      <c r="AA29" s="34"/>
      <c r="AB29" s="35"/>
      <c r="AC29" s="36" t="str">
        <f t="shared" si="0"/>
        <v/>
      </c>
      <c r="AD29" s="9"/>
      <c r="AE29" s="9"/>
      <c r="AF29" s="9"/>
      <c r="AG29" s="9"/>
      <c r="AH29" s="9"/>
      <c r="AI29" s="26"/>
      <c r="AJ29" s="14"/>
      <c r="AK29" s="14"/>
      <c r="AL29" s="14"/>
      <c r="AM29" s="14"/>
      <c r="AN29" s="14"/>
      <c r="AO29" s="14"/>
      <c r="AP29" s="25"/>
      <c r="AQ29" s="9"/>
      <c r="AR29" s="9"/>
      <c r="AS29" s="9"/>
      <c r="AT29" s="9"/>
      <c r="AU29" s="9"/>
      <c r="AV29" s="9"/>
      <c r="AW29" s="9"/>
      <c r="AX29" s="26"/>
      <c r="AY29" s="14"/>
      <c r="AZ29" s="14"/>
      <c r="BA29" s="14"/>
      <c r="BB29" s="14"/>
      <c r="BC29" s="14"/>
      <c r="BD29" s="25"/>
      <c r="BE29" s="9"/>
      <c r="BF29" s="9"/>
      <c r="BG29" s="9"/>
      <c r="BH29" s="9"/>
      <c r="BI29" s="9"/>
      <c r="BJ29" s="9"/>
      <c r="BK29" s="9"/>
      <c r="BL29" s="26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</row>
    <row r="30" spans="4:114" x14ac:dyDescent="0.25">
      <c r="D30" s="14"/>
      <c r="E30" s="15"/>
      <c r="F30" s="14"/>
      <c r="G30" s="14"/>
      <c r="H30" s="14"/>
      <c r="I30" s="14"/>
      <c r="J30" s="14"/>
      <c r="K30" s="25"/>
      <c r="L30" s="34"/>
      <c r="M30" s="34"/>
      <c r="N30" s="9"/>
      <c r="O30" s="9"/>
      <c r="P30" s="9"/>
      <c r="Q30" s="9"/>
      <c r="R30" s="9"/>
      <c r="S30" s="26"/>
      <c r="T30" s="14"/>
      <c r="U30" s="14"/>
      <c r="V30" s="14"/>
      <c r="W30" s="14"/>
      <c r="X30" s="14"/>
      <c r="Y30" s="14"/>
      <c r="Z30" s="25"/>
      <c r="AA30" s="34"/>
      <c r="AB30" s="35"/>
      <c r="AC30" s="36" t="str">
        <f t="shared" si="0"/>
        <v/>
      </c>
      <c r="AD30" s="9"/>
      <c r="AE30" s="9"/>
      <c r="AF30" s="9"/>
      <c r="AG30" s="9"/>
      <c r="AH30" s="9"/>
      <c r="AI30" s="26"/>
      <c r="AJ30" s="14"/>
      <c r="AK30" s="14"/>
      <c r="AL30" s="14"/>
      <c r="AM30" s="14"/>
      <c r="AN30" s="14"/>
      <c r="AO30" s="14"/>
      <c r="AP30" s="25"/>
      <c r="AQ30" s="9"/>
      <c r="AR30" s="9"/>
      <c r="AS30" s="9"/>
      <c r="AT30" s="9"/>
      <c r="AU30" s="9"/>
      <c r="AV30" s="9"/>
      <c r="AW30" s="9"/>
      <c r="AX30" s="26"/>
      <c r="AY30" s="14"/>
      <c r="AZ30" s="14"/>
      <c r="BA30" s="14"/>
      <c r="BB30" s="14"/>
      <c r="BC30" s="14"/>
      <c r="BD30" s="25"/>
      <c r="BE30" s="9"/>
      <c r="BF30" s="9"/>
      <c r="BG30" s="9"/>
      <c r="BH30" s="9"/>
      <c r="BI30" s="9"/>
      <c r="BJ30" s="9"/>
      <c r="BK30" s="9"/>
      <c r="BL30" s="26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</row>
    <row r="31" spans="4:114" x14ac:dyDescent="0.25">
      <c r="D31" s="14"/>
      <c r="E31" s="15"/>
      <c r="F31" s="14"/>
      <c r="G31" s="14"/>
      <c r="H31" s="14"/>
      <c r="I31" s="14"/>
      <c r="J31" s="14"/>
      <c r="K31" s="25"/>
      <c r="L31" s="34"/>
      <c r="M31" s="34"/>
      <c r="N31" s="9"/>
      <c r="O31" s="9"/>
      <c r="P31" s="9"/>
      <c r="Q31" s="9"/>
      <c r="R31" s="9"/>
      <c r="S31" s="26"/>
      <c r="T31" s="14"/>
      <c r="U31" s="14"/>
      <c r="V31" s="14"/>
      <c r="W31" s="14"/>
      <c r="X31" s="14"/>
      <c r="Y31" s="14"/>
      <c r="Z31" s="25"/>
      <c r="AA31" s="34"/>
      <c r="AB31" s="35"/>
      <c r="AC31" s="36" t="str">
        <f t="shared" si="0"/>
        <v/>
      </c>
      <c r="AD31" s="9"/>
      <c r="AE31" s="9"/>
      <c r="AF31" s="9"/>
      <c r="AG31" s="9"/>
      <c r="AH31" s="9"/>
      <c r="AI31" s="26"/>
      <c r="AJ31" s="14"/>
      <c r="AK31" s="14"/>
      <c r="AL31" s="14"/>
      <c r="AM31" s="14"/>
      <c r="AN31" s="14"/>
      <c r="AO31" s="14"/>
      <c r="AP31" s="25"/>
      <c r="AQ31" s="9"/>
      <c r="AR31" s="9"/>
      <c r="AS31" s="9"/>
      <c r="AT31" s="9"/>
      <c r="AU31" s="9"/>
      <c r="AV31" s="9"/>
      <c r="AW31" s="9"/>
      <c r="AX31" s="26"/>
      <c r="AY31" s="14"/>
      <c r="AZ31" s="14"/>
      <c r="BA31" s="14"/>
      <c r="BB31" s="14"/>
      <c r="BC31" s="14"/>
      <c r="BD31" s="25"/>
      <c r="BE31" s="9"/>
      <c r="BF31" s="9"/>
      <c r="BG31" s="9"/>
      <c r="BH31" s="9"/>
      <c r="BI31" s="9"/>
      <c r="BJ31" s="9"/>
      <c r="BK31" s="9"/>
      <c r="BL31" s="26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</row>
    <row r="32" spans="4:114" x14ac:dyDescent="0.25">
      <c r="D32" s="14"/>
      <c r="E32" s="15"/>
      <c r="F32" s="14"/>
      <c r="G32" s="14"/>
      <c r="H32" s="14"/>
      <c r="I32" s="14"/>
      <c r="J32" s="14"/>
      <c r="K32" s="25"/>
      <c r="L32" s="34"/>
      <c r="M32" s="34"/>
      <c r="N32" s="9"/>
      <c r="O32" s="9"/>
      <c r="P32" s="9"/>
      <c r="Q32" s="9"/>
      <c r="R32" s="9"/>
      <c r="S32" s="26"/>
      <c r="T32" s="14"/>
      <c r="U32" s="14"/>
      <c r="V32" s="14"/>
      <c r="W32" s="14"/>
      <c r="X32" s="14"/>
      <c r="Y32" s="14"/>
      <c r="Z32" s="25"/>
      <c r="AA32" s="34"/>
      <c r="AB32" s="35"/>
      <c r="AC32" s="36" t="str">
        <f t="shared" si="0"/>
        <v/>
      </c>
      <c r="AD32" s="9"/>
      <c r="AE32" s="9"/>
      <c r="AF32" s="9"/>
      <c r="AG32" s="9"/>
      <c r="AH32" s="9"/>
      <c r="AI32" s="26"/>
      <c r="AJ32" s="14"/>
      <c r="AK32" s="14"/>
      <c r="AL32" s="14"/>
      <c r="AM32" s="14"/>
      <c r="AN32" s="14"/>
      <c r="AO32" s="14"/>
      <c r="AP32" s="25"/>
      <c r="AQ32" s="9"/>
      <c r="AR32" s="9"/>
      <c r="AS32" s="9"/>
      <c r="AT32" s="9"/>
      <c r="AU32" s="9"/>
      <c r="AV32" s="9"/>
      <c r="AW32" s="9"/>
      <c r="AX32" s="26"/>
      <c r="AY32" s="14"/>
      <c r="AZ32" s="14"/>
      <c r="BA32" s="14"/>
      <c r="BB32" s="14"/>
      <c r="BC32" s="14"/>
      <c r="BD32" s="25"/>
      <c r="BE32" s="9"/>
      <c r="BF32" s="9"/>
      <c r="BG32" s="9"/>
      <c r="BH32" s="9"/>
      <c r="BI32" s="9"/>
      <c r="BJ32" s="9"/>
      <c r="BK32" s="9"/>
      <c r="BL32" s="26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</row>
    <row r="33" spans="4:114" x14ac:dyDescent="0.25">
      <c r="D33" s="14"/>
      <c r="E33" s="15"/>
      <c r="F33" s="14"/>
      <c r="G33" s="14"/>
      <c r="H33" s="14"/>
      <c r="I33" s="14"/>
      <c r="J33" s="14"/>
      <c r="K33" s="25"/>
      <c r="L33" s="34"/>
      <c r="M33" s="34"/>
      <c r="N33" s="9"/>
      <c r="O33" s="9"/>
      <c r="P33" s="9"/>
      <c r="Q33" s="9"/>
      <c r="R33" s="9"/>
      <c r="S33" s="26"/>
      <c r="T33" s="14"/>
      <c r="U33" s="14"/>
      <c r="V33" s="14"/>
      <c r="W33" s="14"/>
      <c r="X33" s="14"/>
      <c r="Y33" s="14"/>
      <c r="Z33" s="25"/>
      <c r="AA33" s="34"/>
      <c r="AB33" s="35"/>
      <c r="AC33" s="36" t="str">
        <f t="shared" si="0"/>
        <v/>
      </c>
      <c r="AD33" s="9"/>
      <c r="AE33" s="9"/>
      <c r="AF33" s="9"/>
      <c r="AG33" s="9"/>
      <c r="AH33" s="9"/>
      <c r="AI33" s="26"/>
      <c r="AJ33" s="14"/>
      <c r="AK33" s="14"/>
      <c r="AL33" s="14"/>
      <c r="AM33" s="14"/>
      <c r="AN33" s="14"/>
      <c r="AO33" s="14"/>
      <c r="AP33" s="25"/>
      <c r="AQ33" s="9"/>
      <c r="AR33" s="9"/>
      <c r="AS33" s="9"/>
      <c r="AT33" s="9"/>
      <c r="AU33" s="9"/>
      <c r="AV33" s="9"/>
      <c r="AW33" s="9"/>
      <c r="AX33" s="26"/>
      <c r="AY33" s="14"/>
      <c r="AZ33" s="14"/>
      <c r="BA33" s="14"/>
      <c r="BB33" s="14"/>
      <c r="BC33" s="14"/>
      <c r="BD33" s="25"/>
      <c r="BE33" s="9"/>
      <c r="BF33" s="9"/>
      <c r="BG33" s="9"/>
      <c r="BH33" s="9"/>
      <c r="BI33" s="9"/>
      <c r="BJ33" s="9"/>
      <c r="BK33" s="9"/>
      <c r="BL33" s="26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</row>
    <row r="34" spans="4:114" x14ac:dyDescent="0.25">
      <c r="D34" s="14"/>
      <c r="E34" s="15"/>
      <c r="F34" s="14"/>
      <c r="G34" s="14"/>
      <c r="H34" s="14"/>
      <c r="I34" s="14"/>
      <c r="J34" s="14"/>
      <c r="K34" s="25"/>
      <c r="L34" s="34"/>
      <c r="M34" s="34"/>
      <c r="N34" s="9"/>
      <c r="O34" s="9"/>
      <c r="P34" s="9"/>
      <c r="Q34" s="9"/>
      <c r="R34" s="9"/>
      <c r="S34" s="26"/>
      <c r="T34" s="14"/>
      <c r="U34" s="14"/>
      <c r="V34" s="14"/>
      <c r="W34" s="14"/>
      <c r="X34" s="14"/>
      <c r="Y34" s="14"/>
      <c r="Z34" s="25"/>
      <c r="AA34" s="34"/>
      <c r="AB34" s="35"/>
      <c r="AC34" s="36" t="str">
        <f t="shared" si="0"/>
        <v/>
      </c>
      <c r="AD34" s="9"/>
      <c r="AE34" s="9"/>
      <c r="AF34" s="9"/>
      <c r="AG34" s="9"/>
      <c r="AH34" s="9"/>
      <c r="AI34" s="26"/>
      <c r="AJ34" s="14"/>
      <c r="AK34" s="14"/>
      <c r="AL34" s="14"/>
      <c r="AM34" s="14"/>
      <c r="AN34" s="14"/>
      <c r="AO34" s="14"/>
      <c r="AP34" s="25"/>
      <c r="AQ34" s="9"/>
      <c r="AR34" s="9"/>
      <c r="AS34" s="9"/>
      <c r="AT34" s="9"/>
      <c r="AU34" s="9"/>
      <c r="AV34" s="9"/>
      <c r="AW34" s="9"/>
      <c r="AX34" s="26"/>
      <c r="AY34" s="14"/>
      <c r="AZ34" s="14"/>
      <c r="BA34" s="14"/>
      <c r="BB34" s="14"/>
      <c r="BC34" s="14"/>
      <c r="BD34" s="25"/>
      <c r="BE34" s="9"/>
      <c r="BF34" s="9"/>
      <c r="BG34" s="9"/>
      <c r="BH34" s="9"/>
      <c r="BI34" s="9"/>
      <c r="BJ34" s="9"/>
      <c r="BK34" s="9"/>
      <c r="BL34" s="26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</row>
    <row r="35" spans="4:114" x14ac:dyDescent="0.25">
      <c r="D35" s="14"/>
      <c r="E35" s="15"/>
      <c r="F35" s="14"/>
      <c r="G35" s="14"/>
      <c r="H35" s="14"/>
      <c r="I35" s="14"/>
      <c r="J35" s="14"/>
      <c r="K35" s="25"/>
      <c r="L35" s="34"/>
      <c r="M35" s="34"/>
      <c r="N35" s="9"/>
      <c r="O35" s="9"/>
      <c r="P35" s="9"/>
      <c r="Q35" s="9"/>
      <c r="R35" s="9"/>
      <c r="S35" s="26"/>
      <c r="T35" s="14"/>
      <c r="U35" s="14"/>
      <c r="V35" s="14"/>
      <c r="W35" s="14"/>
      <c r="X35" s="14"/>
      <c r="Y35" s="14"/>
      <c r="Z35" s="25"/>
      <c r="AA35" s="34"/>
      <c r="AB35" s="35"/>
      <c r="AC35" s="36" t="str">
        <f t="shared" si="0"/>
        <v/>
      </c>
      <c r="AD35" s="9"/>
      <c r="AE35" s="9"/>
      <c r="AF35" s="9"/>
      <c r="AG35" s="9"/>
      <c r="AH35" s="9"/>
      <c r="AI35" s="26"/>
      <c r="AJ35" s="14"/>
      <c r="AK35" s="14"/>
      <c r="AL35" s="14"/>
      <c r="AM35" s="14"/>
      <c r="AN35" s="14"/>
      <c r="AO35" s="14"/>
      <c r="AP35" s="25"/>
      <c r="AQ35" s="9"/>
      <c r="AR35" s="9"/>
      <c r="AS35" s="9"/>
      <c r="AT35" s="9"/>
      <c r="AU35" s="9"/>
      <c r="AV35" s="9"/>
      <c r="AW35" s="9"/>
      <c r="AX35" s="26"/>
      <c r="AY35" s="14"/>
      <c r="AZ35" s="14"/>
      <c r="BA35" s="14"/>
      <c r="BB35" s="14"/>
      <c r="BC35" s="14"/>
      <c r="BD35" s="25"/>
      <c r="BE35" s="9"/>
      <c r="BF35" s="9"/>
      <c r="BG35" s="9"/>
      <c r="BH35" s="9"/>
      <c r="BI35" s="9"/>
      <c r="BJ35" s="9"/>
      <c r="BK35" s="9"/>
      <c r="BL35" s="26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</row>
    <row r="36" spans="4:114" x14ac:dyDescent="0.25">
      <c r="D36" s="14"/>
      <c r="E36" s="15"/>
      <c r="F36" s="14"/>
      <c r="G36" s="14"/>
      <c r="H36" s="14"/>
      <c r="I36" s="14"/>
      <c r="J36" s="14"/>
      <c r="K36" s="25"/>
      <c r="L36" s="34"/>
      <c r="M36" s="34"/>
      <c r="N36" s="9"/>
      <c r="O36" s="9"/>
      <c r="P36" s="9"/>
      <c r="Q36" s="9"/>
      <c r="R36" s="9"/>
      <c r="S36" s="26"/>
      <c r="T36" s="14"/>
      <c r="U36" s="14"/>
      <c r="V36" s="14"/>
      <c r="W36" s="14"/>
      <c r="X36" s="14"/>
      <c r="Y36" s="14"/>
      <c r="Z36" s="25"/>
      <c r="AA36" s="34"/>
      <c r="AB36" s="35"/>
      <c r="AC36" s="36" t="str">
        <f t="shared" si="0"/>
        <v/>
      </c>
      <c r="AD36" s="9"/>
      <c r="AE36" s="9"/>
      <c r="AF36" s="9"/>
      <c r="AG36" s="9"/>
      <c r="AH36" s="9"/>
      <c r="AI36" s="26"/>
      <c r="AJ36" s="14"/>
      <c r="AK36" s="14"/>
      <c r="AL36" s="14"/>
      <c r="AM36" s="14"/>
      <c r="AN36" s="14"/>
      <c r="AO36" s="14"/>
      <c r="AP36" s="25"/>
      <c r="AQ36" s="9"/>
      <c r="AR36" s="9"/>
      <c r="AS36" s="9"/>
      <c r="AT36" s="9"/>
      <c r="AU36" s="9"/>
      <c r="AV36" s="9"/>
      <c r="AW36" s="9"/>
      <c r="AX36" s="26"/>
      <c r="AY36" s="14"/>
      <c r="AZ36" s="14"/>
      <c r="BA36" s="14"/>
      <c r="BB36" s="14"/>
      <c r="BC36" s="14"/>
      <c r="BD36" s="25"/>
      <c r="BE36" s="9"/>
      <c r="BF36" s="9"/>
      <c r="BG36" s="9"/>
      <c r="BH36" s="9"/>
      <c r="BI36" s="9"/>
      <c r="BJ36" s="9"/>
      <c r="BK36" s="9"/>
      <c r="BL36" s="26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</row>
    <row r="37" spans="4:114" x14ac:dyDescent="0.25">
      <c r="D37" s="14"/>
      <c r="E37" s="15"/>
      <c r="F37" s="14"/>
      <c r="G37" s="14"/>
      <c r="H37" s="14"/>
      <c r="I37" s="14"/>
      <c r="J37" s="14"/>
      <c r="K37" s="25"/>
      <c r="L37" s="34"/>
      <c r="M37" s="34"/>
      <c r="N37" s="9"/>
      <c r="O37" s="9"/>
      <c r="P37" s="9"/>
      <c r="Q37" s="9"/>
      <c r="R37" s="9"/>
      <c r="S37" s="26"/>
      <c r="T37" s="14"/>
      <c r="U37" s="14"/>
      <c r="V37" s="14"/>
      <c r="W37" s="14"/>
      <c r="X37" s="14"/>
      <c r="Y37" s="14"/>
      <c r="Z37" s="25"/>
      <c r="AA37" s="34"/>
      <c r="AB37" s="35"/>
      <c r="AC37" s="36" t="str">
        <f t="shared" si="0"/>
        <v/>
      </c>
      <c r="AD37" s="9"/>
      <c r="AE37" s="9"/>
      <c r="AF37" s="9"/>
      <c r="AG37" s="9"/>
      <c r="AH37" s="9"/>
      <c r="AI37" s="26"/>
      <c r="AJ37" s="14"/>
      <c r="AK37" s="14"/>
      <c r="AL37" s="14"/>
      <c r="AM37" s="14"/>
      <c r="AN37" s="14"/>
      <c r="AO37" s="14"/>
      <c r="AP37" s="25"/>
      <c r="AQ37" s="9"/>
      <c r="AR37" s="9"/>
      <c r="AS37" s="9"/>
      <c r="AT37" s="9"/>
      <c r="AU37" s="9"/>
      <c r="AV37" s="9"/>
      <c r="AW37" s="9"/>
      <c r="AX37" s="26"/>
      <c r="AY37" s="14"/>
      <c r="AZ37" s="14"/>
      <c r="BA37" s="14"/>
      <c r="BB37" s="14"/>
      <c r="BC37" s="14"/>
      <c r="BD37" s="25"/>
      <c r="BE37" s="9"/>
      <c r="BF37" s="9"/>
      <c r="BG37" s="9"/>
      <c r="BH37" s="9"/>
      <c r="BI37" s="9"/>
      <c r="BJ37" s="9"/>
      <c r="BK37" s="9"/>
      <c r="BL37" s="26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</row>
    <row r="38" spans="4:114" x14ac:dyDescent="0.25">
      <c r="D38" s="14"/>
      <c r="E38" s="15"/>
      <c r="F38" s="14"/>
      <c r="G38" s="14"/>
      <c r="H38" s="14"/>
      <c r="I38" s="14"/>
      <c r="J38" s="14"/>
      <c r="K38" s="25"/>
      <c r="L38" s="34"/>
      <c r="M38" s="34"/>
      <c r="N38" s="9"/>
      <c r="O38" s="9"/>
      <c r="P38" s="9"/>
      <c r="Q38" s="9"/>
      <c r="R38" s="9"/>
      <c r="S38" s="26"/>
      <c r="T38" s="14"/>
      <c r="U38" s="14"/>
      <c r="V38" s="14"/>
      <c r="W38" s="14"/>
      <c r="X38" s="14"/>
      <c r="Y38" s="14"/>
      <c r="Z38" s="25"/>
      <c r="AA38" s="34"/>
      <c r="AB38" s="35"/>
      <c r="AC38" s="36" t="str">
        <f t="shared" si="0"/>
        <v/>
      </c>
      <c r="AD38" s="9"/>
      <c r="AE38" s="9"/>
      <c r="AF38" s="9"/>
      <c r="AG38" s="9"/>
      <c r="AH38" s="9"/>
      <c r="AI38" s="26"/>
      <c r="AJ38" s="14"/>
      <c r="AK38" s="14"/>
      <c r="AL38" s="14"/>
      <c r="AM38" s="14"/>
      <c r="AN38" s="14"/>
      <c r="AO38" s="14"/>
      <c r="AP38" s="25"/>
      <c r="AQ38" s="9"/>
      <c r="AR38" s="9"/>
      <c r="AS38" s="9"/>
      <c r="AT38" s="9"/>
      <c r="AU38" s="9"/>
      <c r="AV38" s="9"/>
      <c r="AW38" s="9"/>
      <c r="AX38" s="26"/>
      <c r="AY38" s="14"/>
      <c r="AZ38" s="14"/>
      <c r="BA38" s="14"/>
      <c r="BB38" s="14"/>
      <c r="BC38" s="14"/>
      <c r="BD38" s="25"/>
      <c r="BE38" s="9"/>
      <c r="BF38" s="9"/>
      <c r="BG38" s="9"/>
      <c r="BH38" s="9"/>
      <c r="BI38" s="9"/>
      <c r="BJ38" s="9"/>
      <c r="BK38" s="9"/>
      <c r="BL38" s="26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</row>
    <row r="39" spans="4:114" x14ac:dyDescent="0.25">
      <c r="D39" s="14"/>
      <c r="E39" s="15"/>
      <c r="F39" s="14"/>
      <c r="G39" s="14"/>
      <c r="H39" s="14"/>
      <c r="I39" s="14"/>
      <c r="J39" s="14"/>
      <c r="K39" s="25"/>
      <c r="L39" s="34"/>
      <c r="M39" s="34"/>
      <c r="N39" s="9"/>
      <c r="O39" s="9"/>
      <c r="P39" s="9"/>
      <c r="Q39" s="9"/>
      <c r="R39" s="9"/>
      <c r="S39" s="26"/>
      <c r="T39" s="14"/>
      <c r="U39" s="14"/>
      <c r="V39" s="14"/>
      <c r="W39" s="14"/>
      <c r="X39" s="14"/>
      <c r="Y39" s="14"/>
      <c r="Z39" s="25"/>
      <c r="AA39" s="34"/>
      <c r="AB39" s="37"/>
      <c r="AC39" s="36" t="str">
        <f t="shared" si="0"/>
        <v/>
      </c>
      <c r="AD39" s="9"/>
      <c r="AE39" s="9"/>
      <c r="AF39" s="9"/>
      <c r="AG39" s="9"/>
      <c r="AH39" s="9"/>
      <c r="AI39" s="26"/>
      <c r="AJ39" s="14"/>
      <c r="AK39" s="14"/>
      <c r="AL39" s="14"/>
      <c r="AM39" s="14"/>
      <c r="AN39" s="14"/>
      <c r="AO39" s="14"/>
      <c r="AP39" s="25"/>
      <c r="AQ39" s="9"/>
      <c r="AR39" s="9"/>
      <c r="AS39" s="9"/>
      <c r="AT39" s="9"/>
      <c r="AU39" s="9"/>
      <c r="AV39" s="9"/>
      <c r="AW39" s="9"/>
      <c r="AX39" s="26"/>
      <c r="AY39" s="14"/>
      <c r="AZ39" s="14"/>
      <c r="BA39" s="14"/>
      <c r="BB39" s="14"/>
      <c r="BC39" s="14"/>
      <c r="BD39" s="25"/>
      <c r="BE39" s="9"/>
      <c r="BF39" s="9"/>
      <c r="BG39" s="9"/>
      <c r="BH39" s="9"/>
      <c r="BI39" s="9"/>
      <c r="BJ39" s="9"/>
      <c r="BK39" s="9"/>
      <c r="BL39" s="26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</row>
    <row r="40" spans="4:114" x14ac:dyDescent="0.25">
      <c r="D40" s="14"/>
      <c r="E40" s="15"/>
      <c r="F40" s="14"/>
      <c r="G40" s="14"/>
      <c r="H40" s="14"/>
      <c r="I40" s="14"/>
      <c r="J40" s="14"/>
      <c r="K40" s="25"/>
      <c r="L40" s="34"/>
      <c r="M40" s="34"/>
      <c r="N40" s="9"/>
      <c r="O40" s="9"/>
      <c r="P40" s="9"/>
      <c r="Q40" s="9"/>
      <c r="R40" s="9"/>
      <c r="S40" s="26"/>
      <c r="T40" s="14"/>
      <c r="U40" s="14"/>
      <c r="V40" s="14"/>
      <c r="W40" s="14"/>
      <c r="X40" s="14"/>
      <c r="Y40" s="14"/>
      <c r="Z40" s="25"/>
      <c r="AA40" s="34"/>
      <c r="AB40" s="37"/>
      <c r="AC40" s="36" t="str">
        <f t="shared" si="0"/>
        <v/>
      </c>
      <c r="AD40" s="9"/>
      <c r="AE40" s="9"/>
      <c r="AF40" s="9"/>
      <c r="AG40" s="9"/>
      <c r="AH40" s="9"/>
      <c r="AI40" s="26"/>
      <c r="AJ40" s="14"/>
      <c r="AK40" s="14"/>
      <c r="AL40" s="14"/>
      <c r="AM40" s="14"/>
      <c r="AN40" s="14"/>
      <c r="AO40" s="14"/>
      <c r="AP40" s="25"/>
      <c r="AQ40" s="9"/>
      <c r="AR40" s="9"/>
      <c r="AS40" s="9"/>
      <c r="AT40" s="9"/>
      <c r="AU40" s="9"/>
      <c r="AV40" s="9"/>
      <c r="AW40" s="9"/>
      <c r="AX40" s="26"/>
      <c r="AY40" s="14"/>
      <c r="AZ40" s="14"/>
      <c r="BA40" s="14"/>
      <c r="BB40" s="14"/>
      <c r="BC40" s="14"/>
      <c r="BD40" s="25"/>
      <c r="BE40" s="9"/>
      <c r="BF40" s="9"/>
      <c r="BG40" s="9"/>
      <c r="BH40" s="9"/>
      <c r="BI40" s="9"/>
      <c r="BJ40" s="9"/>
      <c r="BK40" s="9"/>
      <c r="BL40" s="26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</row>
    <row r="41" spans="4:114" x14ac:dyDescent="0.25">
      <c r="D41" s="14"/>
      <c r="E41" s="15"/>
      <c r="F41" s="14"/>
      <c r="G41" s="14"/>
      <c r="H41" s="14"/>
      <c r="I41" s="14"/>
      <c r="J41" s="14"/>
      <c r="K41" s="25"/>
      <c r="L41" s="34"/>
      <c r="M41" s="34"/>
      <c r="N41" s="9"/>
      <c r="O41" s="9"/>
      <c r="P41" s="9"/>
      <c r="Q41" s="9"/>
      <c r="R41" s="9"/>
      <c r="S41" s="26"/>
      <c r="T41" s="14"/>
      <c r="U41" s="14"/>
      <c r="V41" s="14"/>
      <c r="W41" s="14"/>
      <c r="X41" s="14"/>
      <c r="Y41" s="14"/>
      <c r="Z41" s="25"/>
      <c r="AA41" s="34"/>
      <c r="AB41" s="37"/>
      <c r="AC41" s="36" t="str">
        <f t="shared" si="0"/>
        <v/>
      </c>
      <c r="AD41" s="9"/>
      <c r="AE41" s="9"/>
      <c r="AF41" s="9"/>
      <c r="AG41" s="9"/>
      <c r="AH41" s="9"/>
      <c r="AI41" s="26"/>
      <c r="AJ41" s="14"/>
      <c r="AK41" s="14"/>
      <c r="AL41" s="14"/>
      <c r="AM41" s="14"/>
      <c r="AN41" s="14"/>
      <c r="AO41" s="14"/>
      <c r="AP41" s="25"/>
      <c r="AQ41" s="9"/>
      <c r="AR41" s="9"/>
      <c r="AS41" s="9"/>
      <c r="AT41" s="9"/>
      <c r="AU41" s="9"/>
      <c r="AV41" s="9"/>
      <c r="AW41" s="9"/>
      <c r="AX41" s="26"/>
      <c r="AY41" s="14"/>
      <c r="AZ41" s="14"/>
      <c r="BA41" s="14"/>
      <c r="BB41" s="14"/>
      <c r="BC41" s="14"/>
      <c r="BD41" s="25"/>
      <c r="BE41" s="9"/>
      <c r="BF41" s="9"/>
      <c r="BG41" s="9"/>
      <c r="BH41" s="9"/>
      <c r="BI41" s="9"/>
      <c r="BJ41" s="9"/>
      <c r="BK41" s="9"/>
      <c r="BL41" s="26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</row>
    <row r="42" spans="4:114" x14ac:dyDescent="0.25">
      <c r="D42" s="14"/>
      <c r="E42" s="15"/>
      <c r="F42" s="14"/>
      <c r="G42" s="14"/>
      <c r="H42" s="14"/>
      <c r="I42" s="14"/>
      <c r="J42" s="14"/>
      <c r="K42" s="25"/>
      <c r="L42" s="34"/>
      <c r="M42" s="34"/>
      <c r="N42" s="9"/>
      <c r="O42" s="9"/>
      <c r="P42" s="9"/>
      <c r="Q42" s="9"/>
      <c r="R42" s="9"/>
      <c r="S42" s="26"/>
      <c r="T42" s="14"/>
      <c r="U42" s="14"/>
      <c r="V42" s="14"/>
      <c r="W42" s="14"/>
      <c r="X42" s="14"/>
      <c r="Y42" s="14"/>
      <c r="Z42" s="25"/>
      <c r="AA42" s="34"/>
      <c r="AB42" s="37"/>
      <c r="AC42" s="36" t="str">
        <f t="shared" si="0"/>
        <v/>
      </c>
      <c r="AD42" s="9"/>
      <c r="AE42" s="9"/>
      <c r="AF42" s="9"/>
      <c r="AG42" s="9"/>
      <c r="AH42" s="9"/>
      <c r="AI42" s="26"/>
      <c r="AJ42" s="14"/>
      <c r="AK42" s="14"/>
      <c r="AL42" s="14"/>
      <c r="AM42" s="14"/>
      <c r="AN42" s="14"/>
      <c r="AO42" s="14"/>
      <c r="AP42" s="31"/>
      <c r="AQ42" s="32"/>
      <c r="AR42" s="32"/>
      <c r="AS42" s="32"/>
      <c r="AT42" s="32"/>
      <c r="AU42" s="32"/>
      <c r="AV42" s="32"/>
      <c r="AW42" s="32"/>
      <c r="AX42" s="33"/>
      <c r="AY42" s="14"/>
      <c r="AZ42" s="14"/>
      <c r="BA42" s="14"/>
      <c r="BB42" s="14"/>
      <c r="BC42" s="14"/>
      <c r="BD42" s="31"/>
      <c r="BE42" s="32"/>
      <c r="BF42" s="32"/>
      <c r="BG42" s="32"/>
      <c r="BH42" s="32"/>
      <c r="BI42" s="32"/>
      <c r="BJ42" s="32"/>
      <c r="BK42" s="32"/>
      <c r="BL42" s="33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</row>
    <row r="43" spans="4:114" x14ac:dyDescent="0.25">
      <c r="D43" s="14"/>
      <c r="E43" s="15"/>
      <c r="F43" s="14"/>
      <c r="G43" s="14"/>
      <c r="H43" s="14"/>
      <c r="I43" s="14"/>
      <c r="J43" s="14"/>
      <c r="K43" s="25"/>
      <c r="L43" s="34"/>
      <c r="M43" s="34"/>
      <c r="N43" s="9"/>
      <c r="O43" s="9"/>
      <c r="P43" s="9"/>
      <c r="Q43" s="9"/>
      <c r="R43" s="9"/>
      <c r="S43" s="26"/>
      <c r="T43" s="14"/>
      <c r="U43" s="14"/>
      <c r="V43" s="14"/>
      <c r="W43" s="14"/>
      <c r="X43" s="14"/>
      <c r="Y43" s="14"/>
      <c r="Z43" s="25"/>
      <c r="AA43" s="34"/>
      <c r="AB43" s="37"/>
      <c r="AC43" s="36" t="str">
        <f t="shared" si="0"/>
        <v/>
      </c>
      <c r="AD43" s="9"/>
      <c r="AE43" s="9"/>
      <c r="AF43" s="9"/>
      <c r="AG43" s="9"/>
      <c r="AH43" s="9"/>
      <c r="AI43" s="26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</row>
    <row r="44" spans="4:114" x14ac:dyDescent="0.25">
      <c r="D44" s="14"/>
      <c r="E44" s="15"/>
      <c r="F44" s="14"/>
      <c r="G44" s="14"/>
      <c r="H44" s="14"/>
      <c r="I44" s="14"/>
      <c r="J44" s="14"/>
      <c r="K44" s="25"/>
      <c r="L44" s="34"/>
      <c r="M44" s="34"/>
      <c r="N44" s="9"/>
      <c r="O44" s="9"/>
      <c r="P44" s="9"/>
      <c r="Q44" s="9"/>
      <c r="R44" s="9"/>
      <c r="S44" s="26"/>
      <c r="T44" s="14"/>
      <c r="U44" s="14"/>
      <c r="V44" s="14"/>
      <c r="W44" s="14"/>
      <c r="X44" s="14"/>
      <c r="Y44" s="14"/>
      <c r="Z44" s="25"/>
      <c r="AA44" s="34"/>
      <c r="AB44" s="37"/>
      <c r="AC44" s="36" t="str">
        <f t="shared" si="0"/>
        <v/>
      </c>
      <c r="AD44" s="9"/>
      <c r="AE44" s="9"/>
      <c r="AF44" s="9"/>
      <c r="AG44" s="9"/>
      <c r="AH44" s="9"/>
      <c r="AI44" s="26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</row>
    <row r="45" spans="4:114" x14ac:dyDescent="0.25">
      <c r="D45" s="14"/>
      <c r="E45" s="15"/>
      <c r="F45" s="14"/>
      <c r="G45" s="14"/>
      <c r="H45" s="14"/>
      <c r="I45" s="14"/>
      <c r="J45" s="14"/>
      <c r="K45" s="25"/>
      <c r="L45" s="34"/>
      <c r="M45" s="34"/>
      <c r="N45" s="9"/>
      <c r="O45" s="9"/>
      <c r="P45" s="9"/>
      <c r="Q45" s="9"/>
      <c r="R45" s="9"/>
      <c r="S45" s="26"/>
      <c r="T45" s="14"/>
      <c r="U45" s="14"/>
      <c r="V45" s="14"/>
      <c r="W45" s="14"/>
      <c r="X45" s="14"/>
      <c r="Y45" s="14"/>
      <c r="Z45" s="25"/>
      <c r="AA45" s="34"/>
      <c r="AB45" s="37"/>
      <c r="AC45" s="36" t="str">
        <f t="shared" si="0"/>
        <v/>
      </c>
      <c r="AD45" s="9"/>
      <c r="AE45" s="9"/>
      <c r="AF45" s="9"/>
      <c r="AG45" s="9"/>
      <c r="AH45" s="9"/>
      <c r="AI45" s="26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</row>
    <row r="46" spans="4:114" x14ac:dyDescent="0.25">
      <c r="D46" s="14"/>
      <c r="E46" s="15"/>
      <c r="F46" s="14"/>
      <c r="G46" s="14"/>
      <c r="H46" s="14"/>
      <c r="I46" s="14"/>
      <c r="J46" s="14"/>
      <c r="K46" s="25"/>
      <c r="L46" s="34"/>
      <c r="M46" s="34"/>
      <c r="N46" s="9"/>
      <c r="O46" s="9"/>
      <c r="P46" s="9"/>
      <c r="Q46" s="9"/>
      <c r="R46" s="9"/>
      <c r="S46" s="26"/>
      <c r="T46" s="14"/>
      <c r="U46" s="14"/>
      <c r="V46" s="14"/>
      <c r="W46" s="14"/>
      <c r="X46" s="14"/>
      <c r="Y46" s="14"/>
      <c r="Z46" s="25"/>
      <c r="AA46" s="34"/>
      <c r="AB46" s="37"/>
      <c r="AC46" s="36" t="str">
        <f t="shared" si="0"/>
        <v/>
      </c>
      <c r="AD46" s="9"/>
      <c r="AE46" s="9"/>
      <c r="AF46" s="9"/>
      <c r="AG46" s="9"/>
      <c r="AH46" s="9"/>
      <c r="AI46" s="26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</row>
    <row r="47" spans="4:114" x14ac:dyDescent="0.25">
      <c r="D47" s="14"/>
      <c r="E47" s="15"/>
      <c r="F47" s="14"/>
      <c r="G47" s="14"/>
      <c r="H47" s="14"/>
      <c r="I47" s="14"/>
      <c r="J47" s="14"/>
      <c r="K47" s="25"/>
      <c r="L47" s="34"/>
      <c r="M47" s="34"/>
      <c r="N47" s="9"/>
      <c r="O47" s="9"/>
      <c r="P47" s="9"/>
      <c r="Q47" s="9"/>
      <c r="R47" s="9"/>
      <c r="S47" s="26"/>
      <c r="T47" s="14"/>
      <c r="U47" s="14"/>
      <c r="V47" s="14"/>
      <c r="W47" s="14"/>
      <c r="X47" s="14"/>
      <c r="Y47" s="14"/>
      <c r="Z47" s="25"/>
      <c r="AA47" s="34"/>
      <c r="AB47" s="37"/>
      <c r="AC47" s="36" t="str">
        <f t="shared" si="0"/>
        <v/>
      </c>
      <c r="AD47" s="9"/>
      <c r="AE47" s="9"/>
      <c r="AF47" s="9"/>
      <c r="AG47" s="9"/>
      <c r="AH47" s="9"/>
      <c r="AI47" s="26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</row>
    <row r="48" spans="4:114" x14ac:dyDescent="0.25">
      <c r="D48" s="14"/>
      <c r="E48" s="15"/>
      <c r="F48" s="14"/>
      <c r="G48" s="14"/>
      <c r="H48" s="14"/>
      <c r="I48" s="14"/>
      <c r="J48" s="14"/>
      <c r="K48" s="25"/>
      <c r="L48" s="34"/>
      <c r="M48" s="34"/>
      <c r="N48" s="9"/>
      <c r="O48" s="9"/>
      <c r="P48" s="9"/>
      <c r="Q48" s="9"/>
      <c r="R48" s="9"/>
      <c r="S48" s="26"/>
      <c r="T48" s="14"/>
      <c r="U48" s="14"/>
      <c r="V48" s="14"/>
      <c r="W48" s="14"/>
      <c r="X48" s="14"/>
      <c r="Y48" s="14"/>
      <c r="Z48" s="25"/>
      <c r="AA48" s="34"/>
      <c r="AB48" s="37"/>
      <c r="AC48" s="36" t="str">
        <f t="shared" si="0"/>
        <v/>
      </c>
      <c r="AD48" s="9"/>
      <c r="AE48" s="9"/>
      <c r="AF48" s="9"/>
      <c r="AG48" s="9"/>
      <c r="AH48" s="9"/>
      <c r="AI48" s="26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</row>
    <row r="49" spans="4:114" x14ac:dyDescent="0.25">
      <c r="D49" s="14"/>
      <c r="E49" s="15"/>
      <c r="F49" s="14"/>
      <c r="G49" s="14"/>
      <c r="H49" s="14"/>
      <c r="I49" s="14"/>
      <c r="J49" s="14"/>
      <c r="K49" s="25"/>
      <c r="L49" s="34"/>
      <c r="M49" s="34"/>
      <c r="N49" s="9"/>
      <c r="O49" s="9"/>
      <c r="P49" s="9"/>
      <c r="Q49" s="9"/>
      <c r="R49" s="9"/>
      <c r="S49" s="26"/>
      <c r="T49" s="14"/>
      <c r="U49" s="14"/>
      <c r="V49" s="14"/>
      <c r="W49" s="14"/>
      <c r="X49" s="14"/>
      <c r="Y49" s="14"/>
      <c r="Z49" s="25"/>
      <c r="AA49" s="34"/>
      <c r="AB49" s="37"/>
      <c r="AC49" s="36" t="str">
        <f t="shared" si="0"/>
        <v/>
      </c>
      <c r="AD49" s="9"/>
      <c r="AE49" s="9"/>
      <c r="AF49" s="9"/>
      <c r="AG49" s="9"/>
      <c r="AH49" s="9"/>
      <c r="AI49" s="26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</row>
    <row r="50" spans="4:114" x14ac:dyDescent="0.25">
      <c r="D50" s="14"/>
      <c r="E50" s="15"/>
      <c r="F50" s="14"/>
      <c r="G50" s="14"/>
      <c r="H50" s="14"/>
      <c r="I50" s="14"/>
      <c r="J50" s="14"/>
      <c r="K50" s="25"/>
      <c r="L50" s="34"/>
      <c r="M50" s="34"/>
      <c r="N50" s="9"/>
      <c r="O50" s="9"/>
      <c r="P50" s="9"/>
      <c r="Q50" s="9"/>
      <c r="R50" s="9"/>
      <c r="S50" s="26"/>
      <c r="T50" s="14"/>
      <c r="U50" s="14"/>
      <c r="V50" s="14"/>
      <c r="W50" s="14"/>
      <c r="X50" s="14"/>
      <c r="Y50" s="14"/>
      <c r="Z50" s="25"/>
      <c r="AA50" s="34"/>
      <c r="AB50" s="37"/>
      <c r="AC50" s="36" t="str">
        <f t="shared" si="0"/>
        <v/>
      </c>
      <c r="AD50" s="9"/>
      <c r="AE50" s="9"/>
      <c r="AF50" s="9"/>
      <c r="AG50" s="9"/>
      <c r="AH50" s="9"/>
      <c r="AI50" s="26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</row>
    <row r="51" spans="4:114" x14ac:dyDescent="0.25">
      <c r="D51" s="14"/>
      <c r="E51" s="15"/>
      <c r="F51" s="14"/>
      <c r="G51" s="14"/>
      <c r="H51" s="14"/>
      <c r="I51" s="14"/>
      <c r="J51" s="14"/>
      <c r="K51" s="25"/>
      <c r="L51" s="34"/>
      <c r="M51" s="34"/>
      <c r="N51" s="9"/>
      <c r="O51" s="9"/>
      <c r="P51" s="9"/>
      <c r="Q51" s="9"/>
      <c r="R51" s="9"/>
      <c r="S51" s="26"/>
      <c r="T51" s="14"/>
      <c r="U51" s="14"/>
      <c r="V51" s="14"/>
      <c r="W51" s="14"/>
      <c r="X51" s="14"/>
      <c r="Y51" s="14"/>
      <c r="Z51" s="25"/>
      <c r="AA51" s="34"/>
      <c r="AB51" s="37"/>
      <c r="AC51" s="36" t="str">
        <f t="shared" si="0"/>
        <v/>
      </c>
      <c r="AD51" s="9"/>
      <c r="AE51" s="9"/>
      <c r="AF51" s="9"/>
      <c r="AG51" s="9"/>
      <c r="AH51" s="9"/>
      <c r="AI51" s="26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</row>
    <row r="52" spans="4:114" x14ac:dyDescent="0.25">
      <c r="D52" s="14"/>
      <c r="E52" s="15"/>
      <c r="F52" s="14"/>
      <c r="G52" s="14"/>
      <c r="H52" s="14"/>
      <c r="I52" s="14"/>
      <c r="J52" s="14"/>
      <c r="K52" s="25"/>
      <c r="L52" s="34"/>
      <c r="M52" s="34"/>
      <c r="N52" s="9"/>
      <c r="O52" s="9"/>
      <c r="P52" s="9"/>
      <c r="Q52" s="9"/>
      <c r="R52" s="9"/>
      <c r="S52" s="26"/>
      <c r="T52" s="14"/>
      <c r="U52" s="14"/>
      <c r="V52" s="14"/>
      <c r="W52" s="14"/>
      <c r="X52" s="14"/>
      <c r="Y52" s="14"/>
      <c r="Z52" s="25"/>
      <c r="AA52" s="34"/>
      <c r="AB52" s="37"/>
      <c r="AC52" s="36" t="str">
        <f t="shared" si="0"/>
        <v/>
      </c>
      <c r="AD52" s="9"/>
      <c r="AE52" s="9"/>
      <c r="AF52" s="9"/>
      <c r="AG52" s="9"/>
      <c r="AH52" s="9"/>
      <c r="AI52" s="26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</row>
    <row r="53" spans="4:114" x14ac:dyDescent="0.25">
      <c r="D53" s="14"/>
      <c r="E53" s="15"/>
      <c r="F53" s="14"/>
      <c r="G53" s="14"/>
      <c r="H53" s="14"/>
      <c r="I53" s="14"/>
      <c r="J53" s="14"/>
      <c r="K53" s="25"/>
      <c r="L53" s="34"/>
      <c r="M53" s="34"/>
      <c r="N53" s="9"/>
      <c r="O53" s="9"/>
      <c r="P53" s="9"/>
      <c r="Q53" s="9"/>
      <c r="R53" s="9"/>
      <c r="S53" s="26"/>
      <c r="T53" s="14"/>
      <c r="U53" s="14"/>
      <c r="V53" s="14"/>
      <c r="W53" s="14"/>
      <c r="X53" s="14"/>
      <c r="Y53" s="14"/>
      <c r="Z53" s="25"/>
      <c r="AA53" s="34"/>
      <c r="AB53" s="37"/>
      <c r="AC53" s="36" t="str">
        <f t="shared" si="0"/>
        <v/>
      </c>
      <c r="AD53" s="9"/>
      <c r="AE53" s="9"/>
      <c r="AF53" s="9"/>
      <c r="AG53" s="9"/>
      <c r="AH53" s="9"/>
      <c r="AI53" s="26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</row>
    <row r="54" spans="4:114" x14ac:dyDescent="0.25">
      <c r="D54" s="14"/>
      <c r="E54" s="15"/>
      <c r="F54" s="14"/>
      <c r="G54" s="14"/>
      <c r="H54" s="14"/>
      <c r="I54" s="14"/>
      <c r="J54" s="14"/>
      <c r="K54" s="25"/>
      <c r="L54" s="34"/>
      <c r="M54" s="34"/>
      <c r="N54" s="9"/>
      <c r="O54" s="9"/>
      <c r="P54" s="9"/>
      <c r="Q54" s="9"/>
      <c r="R54" s="9"/>
      <c r="S54" s="26"/>
      <c r="T54" s="14"/>
      <c r="U54" s="14"/>
      <c r="V54" s="14"/>
      <c r="W54" s="14"/>
      <c r="X54" s="14"/>
      <c r="Y54" s="14"/>
      <c r="Z54" s="25"/>
      <c r="AA54" s="34"/>
      <c r="AB54" s="37"/>
      <c r="AC54" s="36" t="str">
        <f t="shared" si="0"/>
        <v/>
      </c>
      <c r="AD54" s="9"/>
      <c r="AE54" s="9"/>
      <c r="AF54" s="9"/>
      <c r="AG54" s="9"/>
      <c r="AH54" s="9"/>
      <c r="AI54" s="26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</row>
    <row r="55" spans="4:114" x14ac:dyDescent="0.25">
      <c r="D55" s="14"/>
      <c r="E55" s="15"/>
      <c r="F55" s="14"/>
      <c r="G55" s="14"/>
      <c r="H55" s="14"/>
      <c r="I55" s="14"/>
      <c r="J55" s="14"/>
      <c r="K55" s="25"/>
      <c r="L55" s="34"/>
      <c r="M55" s="34"/>
      <c r="N55" s="9"/>
      <c r="O55" s="9"/>
      <c r="P55" s="9"/>
      <c r="Q55" s="9"/>
      <c r="R55" s="9"/>
      <c r="S55" s="26"/>
      <c r="T55" s="14"/>
      <c r="U55" s="14"/>
      <c r="V55" s="14"/>
      <c r="W55" s="14"/>
      <c r="X55" s="14"/>
      <c r="Y55" s="14"/>
      <c r="Z55" s="25"/>
      <c r="AA55" s="34"/>
      <c r="AB55" s="37"/>
      <c r="AC55" s="36" t="str">
        <f t="shared" si="0"/>
        <v/>
      </c>
      <c r="AD55" s="9"/>
      <c r="AE55" s="9"/>
      <c r="AF55" s="9"/>
      <c r="AG55" s="9"/>
      <c r="AH55" s="9"/>
      <c r="AI55" s="26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</row>
    <row r="56" spans="4:114" x14ac:dyDescent="0.25">
      <c r="D56" s="14"/>
      <c r="E56" s="15"/>
      <c r="F56" s="14"/>
      <c r="G56" s="14"/>
      <c r="H56" s="14"/>
      <c r="I56" s="14"/>
      <c r="J56" s="14"/>
      <c r="K56" s="25"/>
      <c r="L56" s="34"/>
      <c r="M56" s="34"/>
      <c r="N56" s="9"/>
      <c r="O56" s="9"/>
      <c r="P56" s="9"/>
      <c r="Q56" s="9"/>
      <c r="R56" s="9"/>
      <c r="S56" s="26"/>
      <c r="T56" s="14"/>
      <c r="U56" s="14"/>
      <c r="V56" s="14"/>
      <c r="W56" s="14"/>
      <c r="X56" s="14"/>
      <c r="Y56" s="14"/>
      <c r="Z56" s="25"/>
      <c r="AA56" s="34"/>
      <c r="AB56" s="37"/>
      <c r="AC56" s="36" t="str">
        <f t="shared" si="0"/>
        <v/>
      </c>
      <c r="AD56" s="9"/>
      <c r="AE56" s="9"/>
      <c r="AF56" s="9"/>
      <c r="AG56" s="9"/>
      <c r="AH56" s="9"/>
      <c r="AI56" s="26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</row>
    <row r="57" spans="4:114" x14ac:dyDescent="0.25">
      <c r="D57" s="14"/>
      <c r="E57" s="15"/>
      <c r="F57" s="14"/>
      <c r="G57" s="14"/>
      <c r="H57" s="14"/>
      <c r="I57" s="14"/>
      <c r="J57" s="14"/>
      <c r="K57" s="25"/>
      <c r="L57" s="34"/>
      <c r="M57" s="34"/>
      <c r="N57" s="9"/>
      <c r="O57" s="9"/>
      <c r="P57" s="9"/>
      <c r="Q57" s="9"/>
      <c r="R57" s="9"/>
      <c r="S57" s="26"/>
      <c r="T57" s="14"/>
      <c r="U57" s="14"/>
      <c r="V57" s="14"/>
      <c r="W57" s="14"/>
      <c r="X57" s="14"/>
      <c r="Y57" s="14"/>
      <c r="Z57" s="25"/>
      <c r="AA57" s="34"/>
      <c r="AB57" s="37"/>
      <c r="AC57" s="36" t="str">
        <f t="shared" si="0"/>
        <v/>
      </c>
      <c r="AD57" s="9"/>
      <c r="AE57" s="9"/>
      <c r="AF57" s="9"/>
      <c r="AG57" s="9"/>
      <c r="AH57" s="9"/>
      <c r="AI57" s="26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</row>
    <row r="58" spans="4:114" x14ac:dyDescent="0.25">
      <c r="D58" s="14"/>
      <c r="E58" s="15"/>
      <c r="F58" s="14"/>
      <c r="G58" s="14"/>
      <c r="H58" s="14"/>
      <c r="I58" s="14"/>
      <c r="J58" s="14"/>
      <c r="K58" s="25"/>
      <c r="L58" s="34"/>
      <c r="M58" s="34"/>
      <c r="N58" s="9"/>
      <c r="O58" s="9"/>
      <c r="P58" s="9"/>
      <c r="Q58" s="9"/>
      <c r="R58" s="9"/>
      <c r="S58" s="26"/>
      <c r="T58" s="14"/>
      <c r="U58" s="14"/>
      <c r="V58" s="14"/>
      <c r="W58" s="14"/>
      <c r="X58" s="14"/>
      <c r="Y58" s="14"/>
      <c r="Z58" s="25"/>
      <c r="AA58" s="34"/>
      <c r="AB58" s="37"/>
      <c r="AC58" s="36" t="str">
        <f t="shared" si="0"/>
        <v/>
      </c>
      <c r="AD58" s="9"/>
      <c r="AE58" s="9"/>
      <c r="AF58" s="9"/>
      <c r="AG58" s="9"/>
      <c r="AH58" s="9"/>
      <c r="AI58" s="26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</row>
    <row r="59" spans="4:114" x14ac:dyDescent="0.25">
      <c r="D59" s="14"/>
      <c r="E59" s="15"/>
      <c r="F59" s="14"/>
      <c r="G59" s="14"/>
      <c r="H59" s="14"/>
      <c r="I59" s="14"/>
      <c r="J59" s="14"/>
      <c r="K59" s="25"/>
      <c r="L59" s="34"/>
      <c r="M59" s="34"/>
      <c r="N59" s="9"/>
      <c r="O59" s="9"/>
      <c r="P59" s="9"/>
      <c r="Q59" s="9"/>
      <c r="R59" s="9"/>
      <c r="S59" s="26"/>
      <c r="T59" s="14"/>
      <c r="U59" s="14"/>
      <c r="V59" s="14"/>
      <c r="W59" s="14"/>
      <c r="X59" s="14"/>
      <c r="Y59" s="14"/>
      <c r="Z59" s="25"/>
      <c r="AA59" s="34"/>
      <c r="AB59" s="37"/>
      <c r="AC59" s="36" t="str">
        <f t="shared" si="0"/>
        <v/>
      </c>
      <c r="AD59" s="9"/>
      <c r="AE59" s="9"/>
      <c r="AF59" s="9"/>
      <c r="AG59" s="9"/>
      <c r="AH59" s="9"/>
      <c r="AI59" s="26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</row>
    <row r="60" spans="4:114" x14ac:dyDescent="0.25">
      <c r="D60" s="14"/>
      <c r="E60" s="15"/>
      <c r="F60" s="14"/>
      <c r="G60" s="14"/>
      <c r="H60" s="14"/>
      <c r="I60" s="14"/>
      <c r="J60" s="14"/>
      <c r="K60" s="25"/>
      <c r="L60" s="34"/>
      <c r="M60" s="34"/>
      <c r="N60" s="9"/>
      <c r="O60" s="9"/>
      <c r="P60" s="9"/>
      <c r="Q60" s="9"/>
      <c r="R60" s="9"/>
      <c r="S60" s="26"/>
      <c r="T60" s="14"/>
      <c r="U60" s="14"/>
      <c r="V60" s="14"/>
      <c r="W60" s="14"/>
      <c r="X60" s="14"/>
      <c r="Y60" s="14"/>
      <c r="Z60" s="25"/>
      <c r="AA60" s="34"/>
      <c r="AB60" s="37"/>
      <c r="AC60" s="36" t="str">
        <f t="shared" si="0"/>
        <v/>
      </c>
      <c r="AD60" s="9"/>
      <c r="AE60" s="9"/>
      <c r="AF60" s="9"/>
      <c r="AG60" s="9"/>
      <c r="AH60" s="9"/>
      <c r="AI60" s="26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</row>
    <row r="61" spans="4:114" x14ac:dyDescent="0.25">
      <c r="D61" s="14"/>
      <c r="E61" s="15"/>
      <c r="F61" s="14"/>
      <c r="G61" s="14"/>
      <c r="H61" s="14"/>
      <c r="I61" s="14"/>
      <c r="J61" s="14"/>
      <c r="K61" s="25"/>
      <c r="L61" s="34"/>
      <c r="M61" s="34"/>
      <c r="N61" s="9"/>
      <c r="O61" s="9"/>
      <c r="P61" s="9"/>
      <c r="Q61" s="9"/>
      <c r="R61" s="9"/>
      <c r="S61" s="26"/>
      <c r="T61" s="14"/>
      <c r="U61" s="14"/>
      <c r="V61" s="14"/>
      <c r="W61" s="14"/>
      <c r="X61" s="14"/>
      <c r="Y61" s="14"/>
      <c r="Z61" s="25"/>
      <c r="AA61" s="34"/>
      <c r="AB61" s="37"/>
      <c r="AC61" s="36" t="str">
        <f t="shared" si="0"/>
        <v/>
      </c>
      <c r="AD61" s="9"/>
      <c r="AE61" s="9"/>
      <c r="AF61" s="9"/>
      <c r="AG61" s="9"/>
      <c r="AH61" s="9"/>
      <c r="AI61" s="26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</row>
    <row r="62" spans="4:114" x14ac:dyDescent="0.25">
      <c r="D62" s="14"/>
      <c r="E62" s="15"/>
      <c r="F62" s="14"/>
      <c r="G62" s="14"/>
      <c r="H62" s="14"/>
      <c r="I62" s="14"/>
      <c r="J62" s="14"/>
      <c r="K62" s="25"/>
      <c r="L62" s="34"/>
      <c r="M62" s="34"/>
      <c r="N62" s="9"/>
      <c r="O62" s="9"/>
      <c r="P62" s="9"/>
      <c r="Q62" s="9"/>
      <c r="R62" s="9"/>
      <c r="S62" s="26"/>
      <c r="T62" s="14"/>
      <c r="U62" s="14"/>
      <c r="V62" s="14"/>
      <c r="W62" s="14"/>
      <c r="X62" s="14"/>
      <c r="Y62" s="14"/>
      <c r="Z62" s="25"/>
      <c r="AA62" s="34"/>
      <c r="AB62" s="37"/>
      <c r="AC62" s="36" t="str">
        <f t="shared" si="0"/>
        <v/>
      </c>
      <c r="AD62" s="9"/>
      <c r="AE62" s="9"/>
      <c r="AF62" s="9"/>
      <c r="AG62" s="9"/>
      <c r="AH62" s="9"/>
      <c r="AI62" s="26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</row>
    <row r="63" spans="4:114" x14ac:dyDescent="0.25">
      <c r="D63" s="14"/>
      <c r="E63" s="15"/>
      <c r="F63" s="14"/>
      <c r="G63" s="14"/>
      <c r="H63" s="14"/>
      <c r="I63" s="14"/>
      <c r="J63" s="14"/>
      <c r="K63" s="25"/>
      <c r="L63" s="34"/>
      <c r="M63" s="34"/>
      <c r="N63" s="9"/>
      <c r="O63" s="9"/>
      <c r="P63" s="9"/>
      <c r="Q63" s="9"/>
      <c r="R63" s="9"/>
      <c r="S63" s="26"/>
      <c r="T63" s="14"/>
      <c r="U63" s="14"/>
      <c r="V63" s="14"/>
      <c r="W63" s="14"/>
      <c r="X63" s="14"/>
      <c r="Y63" s="14"/>
      <c r="Z63" s="25"/>
      <c r="AA63" s="34"/>
      <c r="AB63" s="37"/>
      <c r="AC63" s="36" t="str">
        <f t="shared" si="0"/>
        <v/>
      </c>
      <c r="AD63" s="9"/>
      <c r="AE63" s="9"/>
      <c r="AF63" s="9"/>
      <c r="AG63" s="9"/>
      <c r="AH63" s="9"/>
      <c r="AI63" s="26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</row>
    <row r="64" spans="4:114" x14ac:dyDescent="0.25">
      <c r="D64" s="14"/>
      <c r="E64" s="15"/>
      <c r="F64" s="14"/>
      <c r="G64" s="14"/>
      <c r="H64" s="14"/>
      <c r="I64" s="14"/>
      <c r="J64" s="14"/>
      <c r="K64" s="25"/>
      <c r="L64" s="34"/>
      <c r="M64" s="34"/>
      <c r="N64" s="9"/>
      <c r="O64" s="9"/>
      <c r="P64" s="9"/>
      <c r="Q64" s="9"/>
      <c r="R64" s="9"/>
      <c r="S64" s="26"/>
      <c r="T64" s="14"/>
      <c r="U64" s="14"/>
      <c r="V64" s="14"/>
      <c r="W64" s="14"/>
      <c r="X64" s="14"/>
      <c r="Y64" s="14"/>
      <c r="Z64" s="25"/>
      <c r="AA64" s="34"/>
      <c r="AB64" s="37"/>
      <c r="AC64" s="36" t="str">
        <f t="shared" si="0"/>
        <v/>
      </c>
      <c r="AD64" s="9"/>
      <c r="AE64" s="9"/>
      <c r="AF64" s="9"/>
      <c r="AG64" s="9"/>
      <c r="AH64" s="9"/>
      <c r="AI64" s="26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</row>
    <row r="65" spans="4:114" x14ac:dyDescent="0.25">
      <c r="D65" s="14"/>
      <c r="E65" s="15"/>
      <c r="F65" s="14"/>
      <c r="G65" s="14"/>
      <c r="H65" s="14"/>
      <c r="I65" s="14"/>
      <c r="J65" s="14"/>
      <c r="K65" s="25"/>
      <c r="L65" s="34"/>
      <c r="M65" s="34"/>
      <c r="N65" s="9"/>
      <c r="O65" s="9"/>
      <c r="P65" s="9"/>
      <c r="Q65" s="9"/>
      <c r="R65" s="9"/>
      <c r="S65" s="26"/>
      <c r="T65" s="14"/>
      <c r="U65" s="14"/>
      <c r="V65" s="14"/>
      <c r="W65" s="14"/>
      <c r="X65" s="14"/>
      <c r="Y65" s="14"/>
      <c r="Z65" s="25"/>
      <c r="AA65" s="34"/>
      <c r="AB65" s="37"/>
      <c r="AC65" s="36" t="str">
        <f t="shared" si="0"/>
        <v/>
      </c>
      <c r="AD65" s="9"/>
      <c r="AE65" s="9"/>
      <c r="AF65" s="9"/>
      <c r="AG65" s="9"/>
      <c r="AH65" s="9"/>
      <c r="AI65" s="26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</row>
    <row r="66" spans="4:114" x14ac:dyDescent="0.25">
      <c r="D66" s="14"/>
      <c r="E66" s="15"/>
      <c r="F66" s="14"/>
      <c r="G66" s="14"/>
      <c r="H66" s="14"/>
      <c r="I66" s="14"/>
      <c r="J66" s="14"/>
      <c r="K66" s="25"/>
      <c r="L66" s="34"/>
      <c r="M66" s="34"/>
      <c r="N66" s="9"/>
      <c r="O66" s="9"/>
      <c r="P66" s="9"/>
      <c r="Q66" s="9"/>
      <c r="R66" s="9"/>
      <c r="S66" s="26"/>
      <c r="T66" s="14"/>
      <c r="U66" s="14"/>
      <c r="V66" s="14"/>
      <c r="W66" s="14"/>
      <c r="X66" s="14"/>
      <c r="Y66" s="14"/>
      <c r="Z66" s="25"/>
      <c r="AA66" s="34"/>
      <c r="AB66" s="37"/>
      <c r="AC66" s="36" t="str">
        <f t="shared" si="0"/>
        <v/>
      </c>
      <c r="AD66" s="9"/>
      <c r="AE66" s="9"/>
      <c r="AF66" s="9"/>
      <c r="AG66" s="9"/>
      <c r="AH66" s="9"/>
      <c r="AI66" s="26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</row>
    <row r="67" spans="4:114" x14ac:dyDescent="0.25">
      <c r="D67" s="14"/>
      <c r="E67" s="15"/>
      <c r="F67" s="14"/>
      <c r="G67" s="14"/>
      <c r="H67" s="14"/>
      <c r="I67" s="14"/>
      <c r="J67" s="14"/>
      <c r="K67" s="25"/>
      <c r="L67" s="34"/>
      <c r="M67" s="34"/>
      <c r="N67" s="9"/>
      <c r="O67" s="9"/>
      <c r="P67" s="9"/>
      <c r="Q67" s="9"/>
      <c r="R67" s="9"/>
      <c r="S67" s="26"/>
      <c r="T67" s="14"/>
      <c r="U67" s="14"/>
      <c r="V67" s="14"/>
      <c r="W67" s="14"/>
      <c r="X67" s="14"/>
      <c r="Y67" s="14"/>
      <c r="Z67" s="25"/>
      <c r="AA67" s="34"/>
      <c r="AB67" s="37"/>
      <c r="AC67" s="36" t="str">
        <f t="shared" si="0"/>
        <v/>
      </c>
      <c r="AD67" s="9"/>
      <c r="AE67" s="9"/>
      <c r="AF67" s="9"/>
      <c r="AG67" s="9"/>
      <c r="AH67" s="9"/>
      <c r="AI67" s="26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</row>
    <row r="68" spans="4:114" x14ac:dyDescent="0.25">
      <c r="D68" s="14"/>
      <c r="E68" s="15"/>
      <c r="F68" s="14"/>
      <c r="G68" s="14"/>
      <c r="H68" s="14"/>
      <c r="I68" s="14"/>
      <c r="J68" s="14"/>
      <c r="K68" s="25"/>
      <c r="L68" s="34"/>
      <c r="M68" s="34"/>
      <c r="N68" s="9"/>
      <c r="O68" s="9"/>
      <c r="P68" s="9"/>
      <c r="Q68" s="9"/>
      <c r="R68" s="9"/>
      <c r="S68" s="26"/>
      <c r="T68" s="14"/>
      <c r="U68" s="14"/>
      <c r="V68" s="14"/>
      <c r="W68" s="14"/>
      <c r="X68" s="14"/>
      <c r="Y68" s="14"/>
      <c r="Z68" s="25"/>
      <c r="AA68" s="34"/>
      <c r="AB68" s="37"/>
      <c r="AC68" s="36" t="str">
        <f t="shared" si="0"/>
        <v/>
      </c>
      <c r="AD68" s="9"/>
      <c r="AE68" s="9"/>
      <c r="AF68" s="9"/>
      <c r="AG68" s="9"/>
      <c r="AH68" s="9"/>
      <c r="AI68" s="26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</row>
    <row r="69" spans="4:114" x14ac:dyDescent="0.25">
      <c r="D69" s="14"/>
      <c r="E69" s="15"/>
      <c r="F69" s="14"/>
      <c r="G69" s="14"/>
      <c r="H69" s="14"/>
      <c r="I69" s="14"/>
      <c r="J69" s="14"/>
      <c r="K69" s="25"/>
      <c r="L69" s="34"/>
      <c r="M69" s="34"/>
      <c r="N69" s="9"/>
      <c r="O69" s="9"/>
      <c r="P69" s="9"/>
      <c r="Q69" s="9"/>
      <c r="R69" s="9"/>
      <c r="S69" s="26"/>
      <c r="T69" s="14"/>
      <c r="U69" s="14"/>
      <c r="V69" s="14"/>
      <c r="W69" s="14"/>
      <c r="X69" s="14"/>
      <c r="Y69" s="14"/>
      <c r="Z69" s="25"/>
      <c r="AA69" s="34"/>
      <c r="AB69" s="37"/>
      <c r="AC69" s="36" t="str">
        <f t="shared" si="0"/>
        <v/>
      </c>
      <c r="AD69" s="9"/>
      <c r="AE69" s="9"/>
      <c r="AF69" s="9"/>
      <c r="AG69" s="9"/>
      <c r="AH69" s="9"/>
      <c r="AI69" s="26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</row>
    <row r="70" spans="4:114" x14ac:dyDescent="0.25">
      <c r="D70" s="14"/>
      <c r="E70" s="15"/>
      <c r="F70" s="14"/>
      <c r="G70" s="14"/>
      <c r="H70" s="14"/>
      <c r="I70" s="14"/>
      <c r="J70" s="14"/>
      <c r="K70" s="25"/>
      <c r="L70" s="34"/>
      <c r="M70" s="34"/>
      <c r="N70" s="9"/>
      <c r="O70" s="9"/>
      <c r="P70" s="9"/>
      <c r="Q70" s="9"/>
      <c r="R70" s="9"/>
      <c r="S70" s="26"/>
      <c r="T70" s="14"/>
      <c r="U70" s="14"/>
      <c r="V70" s="14"/>
      <c r="W70" s="14"/>
      <c r="X70" s="14"/>
      <c r="Y70" s="14"/>
      <c r="Z70" s="25"/>
      <c r="AA70" s="34"/>
      <c r="AB70" s="37"/>
      <c r="AC70" s="36" t="str">
        <f t="shared" si="0"/>
        <v/>
      </c>
      <c r="AD70" s="9"/>
      <c r="AE70" s="9"/>
      <c r="AF70" s="9"/>
      <c r="AG70" s="9"/>
      <c r="AH70" s="9"/>
      <c r="AI70" s="26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</row>
    <row r="71" spans="4:114" x14ac:dyDescent="0.25">
      <c r="D71" s="14"/>
      <c r="E71" s="15"/>
      <c r="F71" s="14"/>
      <c r="G71" s="14"/>
      <c r="H71" s="14"/>
      <c r="I71" s="14"/>
      <c r="J71" s="14"/>
      <c r="K71" s="25"/>
      <c r="L71" s="34"/>
      <c r="M71" s="34"/>
      <c r="N71" s="9"/>
      <c r="O71" s="9"/>
      <c r="P71" s="9"/>
      <c r="Q71" s="9"/>
      <c r="R71" s="9"/>
      <c r="S71" s="26"/>
      <c r="T71" s="14"/>
      <c r="U71" s="14"/>
      <c r="V71" s="14"/>
      <c r="W71" s="14"/>
      <c r="X71" s="14"/>
      <c r="Y71" s="14"/>
      <c r="Z71" s="25"/>
      <c r="AA71" s="34"/>
      <c r="AB71" s="37"/>
      <c r="AC71" s="36" t="str">
        <f t="shared" si="0"/>
        <v/>
      </c>
      <c r="AD71" s="9"/>
      <c r="AE71" s="9"/>
      <c r="AF71" s="9"/>
      <c r="AG71" s="9"/>
      <c r="AH71" s="9"/>
      <c r="AI71" s="26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</row>
    <row r="72" spans="4:114" x14ac:dyDescent="0.25">
      <c r="D72" s="14"/>
      <c r="E72" s="15"/>
      <c r="F72" s="14"/>
      <c r="G72" s="14"/>
      <c r="H72" s="14"/>
      <c r="I72" s="14"/>
      <c r="J72" s="14"/>
      <c r="K72" s="25"/>
      <c r="L72" s="34"/>
      <c r="M72" s="34"/>
      <c r="N72" s="9"/>
      <c r="O72" s="9"/>
      <c r="P72" s="9"/>
      <c r="Q72" s="9"/>
      <c r="R72" s="9"/>
      <c r="S72" s="26"/>
      <c r="T72" s="14"/>
      <c r="U72" s="14"/>
      <c r="V72" s="14"/>
      <c r="W72" s="14"/>
      <c r="X72" s="14"/>
      <c r="Y72" s="14"/>
      <c r="Z72" s="25"/>
      <c r="AA72" s="34"/>
      <c r="AB72" s="37"/>
      <c r="AC72" s="36" t="str">
        <f t="shared" si="0"/>
        <v/>
      </c>
      <c r="AD72" s="9"/>
      <c r="AE72" s="9"/>
      <c r="AF72" s="9"/>
      <c r="AG72" s="9"/>
      <c r="AH72" s="9"/>
      <c r="AI72" s="26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</row>
    <row r="73" spans="4:114" x14ac:dyDescent="0.25">
      <c r="D73" s="14"/>
      <c r="E73" s="15"/>
      <c r="F73" s="14"/>
      <c r="G73" s="14"/>
      <c r="H73" s="14"/>
      <c r="I73" s="14"/>
      <c r="J73" s="14"/>
      <c r="K73" s="25"/>
      <c r="L73" s="34"/>
      <c r="M73" s="34"/>
      <c r="N73" s="9"/>
      <c r="O73" s="9"/>
      <c r="P73" s="9"/>
      <c r="Q73" s="9"/>
      <c r="R73" s="9"/>
      <c r="S73" s="26"/>
      <c r="T73" s="14"/>
      <c r="U73" s="14"/>
      <c r="V73" s="14"/>
      <c r="W73" s="14"/>
      <c r="X73" s="14"/>
      <c r="Y73" s="14"/>
      <c r="Z73" s="25"/>
      <c r="AA73" s="34"/>
      <c r="AB73" s="37"/>
      <c r="AC73" s="36" t="str">
        <f t="shared" si="0"/>
        <v/>
      </c>
      <c r="AD73" s="9"/>
      <c r="AE73" s="9"/>
      <c r="AF73" s="9"/>
      <c r="AG73" s="9"/>
      <c r="AH73" s="9"/>
      <c r="AI73" s="26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</row>
    <row r="74" spans="4:114" x14ac:dyDescent="0.25">
      <c r="D74" s="14"/>
      <c r="E74" s="15"/>
      <c r="F74" s="14"/>
      <c r="G74" s="14"/>
      <c r="H74" s="14"/>
      <c r="I74" s="14"/>
      <c r="J74" s="14"/>
      <c r="K74" s="25"/>
      <c r="L74" s="34"/>
      <c r="M74" s="34"/>
      <c r="N74" s="9"/>
      <c r="O74" s="9"/>
      <c r="P74" s="9"/>
      <c r="Q74" s="9"/>
      <c r="R74" s="9"/>
      <c r="S74" s="26"/>
      <c r="T74" s="14"/>
      <c r="U74" s="14"/>
      <c r="V74" s="14"/>
      <c r="W74" s="14"/>
      <c r="X74" s="14"/>
      <c r="Y74" s="14"/>
      <c r="Z74" s="25"/>
      <c r="AA74" s="34"/>
      <c r="AB74" s="37"/>
      <c r="AC74" s="36" t="str">
        <f t="shared" si="0"/>
        <v/>
      </c>
      <c r="AD74" s="9"/>
      <c r="AE74" s="9"/>
      <c r="AF74" s="9"/>
      <c r="AG74" s="9"/>
      <c r="AH74" s="9"/>
      <c r="AI74" s="26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</row>
    <row r="75" spans="4:114" x14ac:dyDescent="0.25">
      <c r="D75" s="14"/>
      <c r="E75" s="15"/>
      <c r="F75" s="14"/>
      <c r="G75" s="14"/>
      <c r="H75" s="14"/>
      <c r="I75" s="14"/>
      <c r="J75" s="14"/>
      <c r="K75" s="25"/>
      <c r="L75" s="34"/>
      <c r="M75" s="34"/>
      <c r="N75" s="9"/>
      <c r="O75" s="9"/>
      <c r="P75" s="9"/>
      <c r="Q75" s="9"/>
      <c r="R75" s="9"/>
      <c r="S75" s="26"/>
      <c r="T75" s="14"/>
      <c r="U75" s="14"/>
      <c r="V75" s="14"/>
      <c r="W75" s="14"/>
      <c r="X75" s="14"/>
      <c r="Y75" s="14"/>
      <c r="Z75" s="25"/>
      <c r="AA75" s="34"/>
      <c r="AB75" s="37"/>
      <c r="AC75" s="36" t="str">
        <f t="shared" si="0"/>
        <v/>
      </c>
      <c r="AD75" s="9"/>
      <c r="AE75" s="9"/>
      <c r="AF75" s="9"/>
      <c r="AG75" s="9"/>
      <c r="AH75" s="9"/>
      <c r="AI75" s="26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</row>
    <row r="76" spans="4:114" x14ac:dyDescent="0.25">
      <c r="D76" s="14"/>
      <c r="E76" s="15"/>
      <c r="F76" s="14"/>
      <c r="G76" s="14"/>
      <c r="H76" s="14"/>
      <c r="I76" s="14"/>
      <c r="J76" s="14"/>
      <c r="K76" s="25"/>
      <c r="L76" s="34"/>
      <c r="M76" s="34"/>
      <c r="N76" s="9"/>
      <c r="O76" s="9"/>
      <c r="P76" s="9"/>
      <c r="Q76" s="9"/>
      <c r="R76" s="9"/>
      <c r="S76" s="26"/>
      <c r="T76" s="14"/>
      <c r="U76" s="14"/>
      <c r="V76" s="14"/>
      <c r="W76" s="14"/>
      <c r="X76" s="14"/>
      <c r="Y76" s="14"/>
      <c r="Z76" s="25"/>
      <c r="AA76" s="34"/>
      <c r="AB76" s="37"/>
      <c r="AC76" s="36" t="str">
        <f t="shared" si="0"/>
        <v/>
      </c>
      <c r="AD76" s="9"/>
      <c r="AE76" s="9"/>
      <c r="AF76" s="9"/>
      <c r="AG76" s="9"/>
      <c r="AH76" s="9"/>
      <c r="AI76" s="26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</row>
    <row r="77" spans="4:114" x14ac:dyDescent="0.25">
      <c r="D77" s="14"/>
      <c r="E77" s="15"/>
      <c r="F77" s="14"/>
      <c r="G77" s="14"/>
      <c r="H77" s="14"/>
      <c r="I77" s="14"/>
      <c r="J77" s="14"/>
      <c r="K77" s="25"/>
      <c r="L77" s="34"/>
      <c r="M77" s="34"/>
      <c r="N77" s="9"/>
      <c r="O77" s="9"/>
      <c r="P77" s="9"/>
      <c r="Q77" s="9"/>
      <c r="R77" s="9"/>
      <c r="S77" s="26"/>
      <c r="T77" s="14"/>
      <c r="U77" s="14"/>
      <c r="V77" s="14"/>
      <c r="W77" s="14"/>
      <c r="X77" s="14"/>
      <c r="Y77" s="14"/>
      <c r="Z77" s="25"/>
      <c r="AA77" s="34"/>
      <c r="AB77" s="37"/>
      <c r="AC77" s="36" t="str">
        <f t="shared" ref="AC77:AC140" si="1">IF(AB77="","",MID(AB77,14,IFERROR(FIND(", Powiat",AB77,1),FIND(", Powiat",AB77,1))-LEN("Województwo: ")-1))</f>
        <v/>
      </c>
      <c r="AD77" s="9"/>
      <c r="AE77" s="9"/>
      <c r="AF77" s="9"/>
      <c r="AG77" s="9"/>
      <c r="AH77" s="9"/>
      <c r="AI77" s="26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</row>
    <row r="78" spans="4:114" x14ac:dyDescent="0.25">
      <c r="D78" s="14"/>
      <c r="E78" s="15"/>
      <c r="F78" s="14"/>
      <c r="G78" s="14"/>
      <c r="H78" s="14"/>
      <c r="I78" s="14"/>
      <c r="J78" s="14"/>
      <c r="K78" s="25"/>
      <c r="L78" s="34"/>
      <c r="M78" s="34"/>
      <c r="N78" s="9"/>
      <c r="O78" s="9"/>
      <c r="P78" s="9"/>
      <c r="Q78" s="9"/>
      <c r="R78" s="9"/>
      <c r="S78" s="26"/>
      <c r="T78" s="14"/>
      <c r="U78" s="14"/>
      <c r="V78" s="14"/>
      <c r="W78" s="14"/>
      <c r="X78" s="14"/>
      <c r="Y78" s="14"/>
      <c r="Z78" s="25"/>
      <c r="AA78" s="34"/>
      <c r="AB78" s="37"/>
      <c r="AC78" s="36" t="str">
        <f t="shared" si="1"/>
        <v/>
      </c>
      <c r="AD78" s="9"/>
      <c r="AE78" s="9"/>
      <c r="AF78" s="9"/>
      <c r="AG78" s="9"/>
      <c r="AH78" s="9"/>
      <c r="AI78" s="26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</row>
    <row r="79" spans="4:114" x14ac:dyDescent="0.25">
      <c r="D79" s="14"/>
      <c r="E79" s="15"/>
      <c r="F79" s="14"/>
      <c r="G79" s="14"/>
      <c r="H79" s="14"/>
      <c r="I79" s="14"/>
      <c r="J79" s="14"/>
      <c r="K79" s="25"/>
      <c r="L79" s="34"/>
      <c r="M79" s="34"/>
      <c r="N79" s="9"/>
      <c r="O79" s="9"/>
      <c r="P79" s="9"/>
      <c r="Q79" s="9"/>
      <c r="R79" s="9"/>
      <c r="S79" s="26"/>
      <c r="T79" s="14"/>
      <c r="U79" s="14"/>
      <c r="V79" s="14"/>
      <c r="W79" s="14"/>
      <c r="X79" s="14"/>
      <c r="Y79" s="14"/>
      <c r="Z79" s="25"/>
      <c r="AA79" s="34"/>
      <c r="AB79" s="37"/>
      <c r="AC79" s="36" t="str">
        <f t="shared" si="1"/>
        <v/>
      </c>
      <c r="AD79" s="9"/>
      <c r="AE79" s="9"/>
      <c r="AF79" s="9"/>
      <c r="AG79" s="9"/>
      <c r="AH79" s="9"/>
      <c r="AI79" s="26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</row>
    <row r="80" spans="4:114" x14ac:dyDescent="0.25">
      <c r="D80" s="14"/>
      <c r="E80" s="15"/>
      <c r="F80" s="14"/>
      <c r="G80" s="14"/>
      <c r="H80" s="14"/>
      <c r="I80" s="14"/>
      <c r="J80" s="14"/>
      <c r="K80" s="25"/>
      <c r="L80" s="34"/>
      <c r="M80" s="34"/>
      <c r="N80" s="9"/>
      <c r="O80" s="9"/>
      <c r="P80" s="9"/>
      <c r="Q80" s="9"/>
      <c r="R80" s="9"/>
      <c r="S80" s="26"/>
      <c r="T80" s="14"/>
      <c r="U80" s="14"/>
      <c r="V80" s="14"/>
      <c r="W80" s="14"/>
      <c r="X80" s="14"/>
      <c r="Y80" s="14"/>
      <c r="Z80" s="25"/>
      <c r="AA80" s="34"/>
      <c r="AB80" s="37"/>
      <c r="AC80" s="36" t="str">
        <f t="shared" si="1"/>
        <v/>
      </c>
      <c r="AD80" s="9"/>
      <c r="AE80" s="9"/>
      <c r="AF80" s="9"/>
      <c r="AG80" s="9"/>
      <c r="AH80" s="9"/>
      <c r="AI80" s="26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</row>
    <row r="81" spans="4:114" x14ac:dyDescent="0.25">
      <c r="D81" s="14"/>
      <c r="E81" s="15"/>
      <c r="F81" s="14"/>
      <c r="G81" s="14"/>
      <c r="H81" s="14"/>
      <c r="I81" s="14"/>
      <c r="J81" s="14"/>
      <c r="K81" s="25"/>
      <c r="L81" s="34"/>
      <c r="M81" s="34"/>
      <c r="N81" s="9"/>
      <c r="O81" s="9"/>
      <c r="P81" s="9"/>
      <c r="Q81" s="9"/>
      <c r="R81" s="9"/>
      <c r="S81" s="26"/>
      <c r="T81" s="14"/>
      <c r="U81" s="14"/>
      <c r="V81" s="14"/>
      <c r="W81" s="14"/>
      <c r="X81" s="14"/>
      <c r="Y81" s="14"/>
      <c r="Z81" s="25"/>
      <c r="AA81" s="34"/>
      <c r="AB81" s="37"/>
      <c r="AC81" s="36" t="str">
        <f t="shared" si="1"/>
        <v/>
      </c>
      <c r="AD81" s="9"/>
      <c r="AE81" s="9"/>
      <c r="AF81" s="9"/>
      <c r="AG81" s="9"/>
      <c r="AH81" s="9"/>
      <c r="AI81" s="26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</row>
    <row r="82" spans="4:114" x14ac:dyDescent="0.25">
      <c r="D82" s="14"/>
      <c r="E82" s="15"/>
      <c r="F82" s="14"/>
      <c r="G82" s="14"/>
      <c r="H82" s="14"/>
      <c r="I82" s="14"/>
      <c r="J82" s="14"/>
      <c r="K82" s="25"/>
      <c r="L82" s="34"/>
      <c r="M82" s="34"/>
      <c r="N82" s="9"/>
      <c r="O82" s="9"/>
      <c r="P82" s="9"/>
      <c r="Q82" s="9"/>
      <c r="R82" s="9"/>
      <c r="S82" s="26"/>
      <c r="T82" s="14"/>
      <c r="U82" s="14"/>
      <c r="V82" s="14"/>
      <c r="W82" s="14"/>
      <c r="X82" s="14"/>
      <c r="Y82" s="14"/>
      <c r="Z82" s="25"/>
      <c r="AA82" s="34"/>
      <c r="AB82" s="37"/>
      <c r="AC82" s="36" t="str">
        <f t="shared" si="1"/>
        <v/>
      </c>
      <c r="AD82" s="9"/>
      <c r="AE82" s="9"/>
      <c r="AF82" s="9"/>
      <c r="AG82" s="9"/>
      <c r="AH82" s="9"/>
      <c r="AI82" s="26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</row>
    <row r="83" spans="4:114" x14ac:dyDescent="0.25">
      <c r="D83" s="14"/>
      <c r="E83" s="15"/>
      <c r="F83" s="14"/>
      <c r="G83" s="14"/>
      <c r="H83" s="14"/>
      <c r="I83" s="14"/>
      <c r="J83" s="14"/>
      <c r="K83" s="25"/>
      <c r="L83" s="34"/>
      <c r="M83" s="34"/>
      <c r="N83" s="9"/>
      <c r="O83" s="9"/>
      <c r="P83" s="9"/>
      <c r="Q83" s="9"/>
      <c r="R83" s="9"/>
      <c r="S83" s="26"/>
      <c r="T83" s="14"/>
      <c r="U83" s="14"/>
      <c r="V83" s="14"/>
      <c r="W83" s="14"/>
      <c r="X83" s="14"/>
      <c r="Y83" s="14"/>
      <c r="Z83" s="25"/>
      <c r="AA83" s="34"/>
      <c r="AB83" s="37"/>
      <c r="AC83" s="36" t="str">
        <f t="shared" si="1"/>
        <v/>
      </c>
      <c r="AD83" s="9"/>
      <c r="AE83" s="9"/>
      <c r="AF83" s="9"/>
      <c r="AG83" s="9"/>
      <c r="AH83" s="9"/>
      <c r="AI83" s="26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</row>
    <row r="84" spans="4:114" x14ac:dyDescent="0.25">
      <c r="D84" s="14"/>
      <c r="E84" s="15"/>
      <c r="F84" s="14"/>
      <c r="G84" s="14"/>
      <c r="H84" s="14"/>
      <c r="I84" s="14"/>
      <c r="J84" s="14"/>
      <c r="K84" s="25"/>
      <c r="L84" s="34"/>
      <c r="M84" s="34"/>
      <c r="N84" s="9"/>
      <c r="O84" s="9"/>
      <c r="P84" s="9"/>
      <c r="Q84" s="9"/>
      <c r="R84" s="9"/>
      <c r="S84" s="26"/>
      <c r="T84" s="14"/>
      <c r="U84" s="14"/>
      <c r="V84" s="14"/>
      <c r="W84" s="14"/>
      <c r="X84" s="14"/>
      <c r="Y84" s="14"/>
      <c r="Z84" s="25"/>
      <c r="AA84" s="34"/>
      <c r="AB84" s="37"/>
      <c r="AC84" s="36" t="str">
        <f t="shared" si="1"/>
        <v/>
      </c>
      <c r="AD84" s="9"/>
      <c r="AE84" s="9"/>
      <c r="AF84" s="9"/>
      <c r="AG84" s="9"/>
      <c r="AH84" s="9"/>
      <c r="AI84" s="26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</row>
    <row r="85" spans="4:114" x14ac:dyDescent="0.25">
      <c r="D85" s="14"/>
      <c r="E85" s="15"/>
      <c r="F85" s="14"/>
      <c r="G85" s="14"/>
      <c r="H85" s="14"/>
      <c r="I85" s="14"/>
      <c r="J85" s="14"/>
      <c r="K85" s="25"/>
      <c r="L85" s="34"/>
      <c r="M85" s="34"/>
      <c r="N85" s="9"/>
      <c r="O85" s="9"/>
      <c r="P85" s="9"/>
      <c r="Q85" s="9"/>
      <c r="R85" s="9"/>
      <c r="S85" s="26"/>
      <c r="T85" s="14"/>
      <c r="U85" s="14"/>
      <c r="V85" s="14"/>
      <c r="W85" s="14"/>
      <c r="X85" s="14"/>
      <c r="Y85" s="14"/>
      <c r="Z85" s="25"/>
      <c r="AA85" s="34"/>
      <c r="AB85" s="37"/>
      <c r="AC85" s="36" t="str">
        <f t="shared" si="1"/>
        <v/>
      </c>
      <c r="AD85" s="9"/>
      <c r="AE85" s="9"/>
      <c r="AF85" s="9"/>
      <c r="AG85" s="9"/>
      <c r="AH85" s="9"/>
      <c r="AI85" s="26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</row>
    <row r="86" spans="4:114" x14ac:dyDescent="0.25">
      <c r="D86" s="14"/>
      <c r="E86" s="15"/>
      <c r="F86" s="14"/>
      <c r="G86" s="14"/>
      <c r="H86" s="14"/>
      <c r="I86" s="14"/>
      <c r="J86" s="14"/>
      <c r="K86" s="25"/>
      <c r="L86" s="34"/>
      <c r="M86" s="34"/>
      <c r="N86" s="9"/>
      <c r="O86" s="9"/>
      <c r="P86" s="9"/>
      <c r="Q86" s="9"/>
      <c r="R86" s="9"/>
      <c r="S86" s="26"/>
      <c r="T86" s="14"/>
      <c r="U86" s="14"/>
      <c r="V86" s="14"/>
      <c r="W86" s="14"/>
      <c r="X86" s="14"/>
      <c r="Y86" s="14"/>
      <c r="Z86" s="25"/>
      <c r="AA86" s="34"/>
      <c r="AB86" s="37"/>
      <c r="AC86" s="36" t="str">
        <f t="shared" si="1"/>
        <v/>
      </c>
      <c r="AD86" s="9"/>
      <c r="AE86" s="9"/>
      <c r="AF86" s="9"/>
      <c r="AG86" s="9"/>
      <c r="AH86" s="9"/>
      <c r="AI86" s="26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</row>
    <row r="87" spans="4:114" x14ac:dyDescent="0.25">
      <c r="D87" s="14"/>
      <c r="E87" s="15"/>
      <c r="F87" s="14"/>
      <c r="G87" s="14"/>
      <c r="H87" s="14"/>
      <c r="I87" s="14"/>
      <c r="J87" s="14"/>
      <c r="K87" s="25"/>
      <c r="L87" s="34"/>
      <c r="M87" s="34"/>
      <c r="N87" s="9"/>
      <c r="O87" s="9"/>
      <c r="P87" s="9"/>
      <c r="Q87" s="9"/>
      <c r="R87" s="9"/>
      <c r="S87" s="26"/>
      <c r="T87" s="14"/>
      <c r="U87" s="14"/>
      <c r="V87" s="14"/>
      <c r="W87" s="14"/>
      <c r="X87" s="14"/>
      <c r="Y87" s="14"/>
      <c r="Z87" s="25"/>
      <c r="AA87" s="34"/>
      <c r="AB87" s="37"/>
      <c r="AC87" s="36" t="str">
        <f t="shared" si="1"/>
        <v/>
      </c>
      <c r="AD87" s="9"/>
      <c r="AE87" s="9"/>
      <c r="AF87" s="9"/>
      <c r="AG87" s="9"/>
      <c r="AH87" s="9"/>
      <c r="AI87" s="26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</row>
    <row r="88" spans="4:114" x14ac:dyDescent="0.25">
      <c r="D88" s="14"/>
      <c r="E88" s="15"/>
      <c r="F88" s="14"/>
      <c r="G88" s="14"/>
      <c r="H88" s="14"/>
      <c r="I88" s="14"/>
      <c r="J88" s="14"/>
      <c r="K88" s="25"/>
      <c r="L88" s="34"/>
      <c r="M88" s="34"/>
      <c r="N88" s="9"/>
      <c r="O88" s="9"/>
      <c r="P88" s="9"/>
      <c r="Q88" s="9"/>
      <c r="R88" s="9"/>
      <c r="S88" s="26"/>
      <c r="T88" s="14"/>
      <c r="U88" s="14"/>
      <c r="V88" s="14"/>
      <c r="W88" s="14"/>
      <c r="X88" s="14"/>
      <c r="Y88" s="14"/>
      <c r="Z88" s="25"/>
      <c r="AA88" s="34"/>
      <c r="AB88" s="37"/>
      <c r="AC88" s="36" t="str">
        <f t="shared" si="1"/>
        <v/>
      </c>
      <c r="AD88" s="9"/>
      <c r="AE88" s="9"/>
      <c r="AF88" s="9"/>
      <c r="AG88" s="9"/>
      <c r="AH88" s="9"/>
      <c r="AI88" s="26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</row>
    <row r="89" spans="4:114" x14ac:dyDescent="0.25">
      <c r="D89" s="14"/>
      <c r="E89" s="15"/>
      <c r="F89" s="14"/>
      <c r="G89" s="14"/>
      <c r="H89" s="14"/>
      <c r="I89" s="14"/>
      <c r="J89" s="14"/>
      <c r="K89" s="25"/>
      <c r="L89" s="34"/>
      <c r="M89" s="34"/>
      <c r="N89" s="9"/>
      <c r="O89" s="9"/>
      <c r="P89" s="9"/>
      <c r="Q89" s="9"/>
      <c r="R89" s="9"/>
      <c r="S89" s="26"/>
      <c r="T89" s="14"/>
      <c r="U89" s="14"/>
      <c r="V89" s="14"/>
      <c r="W89" s="14"/>
      <c r="X89" s="14"/>
      <c r="Y89" s="14"/>
      <c r="Z89" s="25"/>
      <c r="AA89" s="34"/>
      <c r="AB89" s="37"/>
      <c r="AC89" s="36" t="str">
        <f t="shared" si="1"/>
        <v/>
      </c>
      <c r="AD89" s="9"/>
      <c r="AE89" s="9"/>
      <c r="AF89" s="9"/>
      <c r="AG89" s="9"/>
      <c r="AH89" s="9"/>
      <c r="AI89" s="26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</row>
    <row r="90" spans="4:114" x14ac:dyDescent="0.25">
      <c r="D90" s="14"/>
      <c r="E90" s="15"/>
      <c r="F90" s="14"/>
      <c r="G90" s="14"/>
      <c r="H90" s="14"/>
      <c r="I90" s="14"/>
      <c r="J90" s="14"/>
      <c r="K90" s="25"/>
      <c r="L90" s="34"/>
      <c r="M90" s="34"/>
      <c r="N90" s="9"/>
      <c r="O90" s="9"/>
      <c r="P90" s="9"/>
      <c r="Q90" s="9"/>
      <c r="R90" s="9"/>
      <c r="S90" s="26"/>
      <c r="T90" s="14"/>
      <c r="U90" s="14"/>
      <c r="V90" s="14"/>
      <c r="W90" s="14"/>
      <c r="X90" s="14"/>
      <c r="Y90" s="14"/>
      <c r="Z90" s="25"/>
      <c r="AA90" s="34"/>
      <c r="AB90" s="37"/>
      <c r="AC90" s="36" t="str">
        <f t="shared" si="1"/>
        <v/>
      </c>
      <c r="AD90" s="9"/>
      <c r="AE90" s="9"/>
      <c r="AF90" s="9"/>
      <c r="AG90" s="9"/>
      <c r="AH90" s="9"/>
      <c r="AI90" s="26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</row>
    <row r="91" spans="4:114" x14ac:dyDescent="0.25">
      <c r="D91" s="14"/>
      <c r="E91" s="15"/>
      <c r="F91" s="14"/>
      <c r="G91" s="14"/>
      <c r="H91" s="14"/>
      <c r="I91" s="14"/>
      <c r="J91" s="14"/>
      <c r="K91" s="25"/>
      <c r="L91" s="34"/>
      <c r="M91" s="34"/>
      <c r="N91" s="9"/>
      <c r="O91" s="9"/>
      <c r="P91" s="9"/>
      <c r="Q91" s="9"/>
      <c r="R91" s="9"/>
      <c r="S91" s="26"/>
      <c r="T91" s="14"/>
      <c r="U91" s="14"/>
      <c r="V91" s="14"/>
      <c r="W91" s="14"/>
      <c r="X91" s="14"/>
      <c r="Y91" s="14"/>
      <c r="Z91" s="25"/>
      <c r="AA91" s="34"/>
      <c r="AB91" s="37"/>
      <c r="AC91" s="36" t="str">
        <f t="shared" si="1"/>
        <v/>
      </c>
      <c r="AD91" s="9"/>
      <c r="AE91" s="9"/>
      <c r="AF91" s="9"/>
      <c r="AG91" s="9"/>
      <c r="AH91" s="9"/>
      <c r="AI91" s="26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</row>
    <row r="92" spans="4:114" x14ac:dyDescent="0.25">
      <c r="D92" s="14"/>
      <c r="E92" s="15"/>
      <c r="F92" s="14"/>
      <c r="G92" s="14"/>
      <c r="H92" s="14"/>
      <c r="I92" s="14"/>
      <c r="J92" s="14"/>
      <c r="K92" s="25"/>
      <c r="L92" s="34"/>
      <c r="M92" s="34"/>
      <c r="N92" s="9"/>
      <c r="O92" s="9"/>
      <c r="P92" s="9"/>
      <c r="Q92" s="9"/>
      <c r="R92" s="9"/>
      <c r="S92" s="26"/>
      <c r="T92" s="14"/>
      <c r="U92" s="14"/>
      <c r="V92" s="14"/>
      <c r="W92" s="14"/>
      <c r="X92" s="14"/>
      <c r="Y92" s="14"/>
      <c r="Z92" s="25"/>
      <c r="AA92" s="34"/>
      <c r="AB92" s="37"/>
      <c r="AC92" s="36" t="str">
        <f t="shared" si="1"/>
        <v/>
      </c>
      <c r="AD92" s="9"/>
      <c r="AE92" s="9"/>
      <c r="AF92" s="9"/>
      <c r="AG92" s="9"/>
      <c r="AH92" s="9"/>
      <c r="AI92" s="26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</row>
    <row r="93" spans="4:114" x14ac:dyDescent="0.25">
      <c r="D93" s="14"/>
      <c r="E93" s="15"/>
      <c r="F93" s="14"/>
      <c r="G93" s="14"/>
      <c r="H93" s="14"/>
      <c r="I93" s="14"/>
      <c r="J93" s="14"/>
      <c r="K93" s="25"/>
      <c r="L93" s="34"/>
      <c r="M93" s="34"/>
      <c r="N93" s="9"/>
      <c r="O93" s="9"/>
      <c r="P93" s="9"/>
      <c r="Q93" s="9"/>
      <c r="R93" s="9"/>
      <c r="S93" s="26"/>
      <c r="T93" s="14"/>
      <c r="U93" s="14"/>
      <c r="V93" s="14"/>
      <c r="W93" s="14"/>
      <c r="X93" s="14"/>
      <c r="Y93" s="14"/>
      <c r="Z93" s="25"/>
      <c r="AA93" s="34"/>
      <c r="AB93" s="37"/>
      <c r="AC93" s="36" t="str">
        <f t="shared" si="1"/>
        <v/>
      </c>
      <c r="AD93" s="9"/>
      <c r="AE93" s="9"/>
      <c r="AF93" s="9"/>
      <c r="AG93" s="9"/>
      <c r="AH93" s="9"/>
      <c r="AI93" s="26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</row>
    <row r="94" spans="4:114" x14ac:dyDescent="0.25">
      <c r="D94" s="14"/>
      <c r="E94" s="15"/>
      <c r="F94" s="14"/>
      <c r="G94" s="14"/>
      <c r="H94" s="14"/>
      <c r="I94" s="14"/>
      <c r="J94" s="14"/>
      <c r="K94" s="25"/>
      <c r="L94" s="34"/>
      <c r="M94" s="34"/>
      <c r="N94" s="9"/>
      <c r="O94" s="9"/>
      <c r="P94" s="9"/>
      <c r="Q94" s="9"/>
      <c r="R94" s="9"/>
      <c r="S94" s="26"/>
      <c r="T94" s="14"/>
      <c r="U94" s="14"/>
      <c r="V94" s="14"/>
      <c r="W94" s="14"/>
      <c r="X94" s="14"/>
      <c r="Y94" s="14"/>
      <c r="Z94" s="25"/>
      <c r="AA94" s="34"/>
      <c r="AB94" s="37"/>
      <c r="AC94" s="36" t="str">
        <f t="shared" si="1"/>
        <v/>
      </c>
      <c r="AD94" s="9"/>
      <c r="AE94" s="9"/>
      <c r="AF94" s="9"/>
      <c r="AG94" s="9"/>
      <c r="AH94" s="9"/>
      <c r="AI94" s="26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</row>
    <row r="95" spans="4:114" x14ac:dyDescent="0.25">
      <c r="D95" s="14"/>
      <c r="E95" s="15"/>
      <c r="F95" s="14"/>
      <c r="G95" s="14"/>
      <c r="H95" s="14"/>
      <c r="I95" s="14"/>
      <c r="J95" s="14"/>
      <c r="K95" s="25"/>
      <c r="L95" s="34"/>
      <c r="M95" s="34"/>
      <c r="N95" s="9"/>
      <c r="O95" s="9"/>
      <c r="P95" s="9"/>
      <c r="Q95" s="9"/>
      <c r="R95" s="9"/>
      <c r="S95" s="26"/>
      <c r="T95" s="14"/>
      <c r="U95" s="14"/>
      <c r="V95" s="14"/>
      <c r="W95" s="14"/>
      <c r="X95" s="14"/>
      <c r="Y95" s="14"/>
      <c r="Z95" s="25"/>
      <c r="AA95" s="34"/>
      <c r="AB95" s="37"/>
      <c r="AC95" s="36" t="str">
        <f t="shared" si="1"/>
        <v/>
      </c>
      <c r="AD95" s="9"/>
      <c r="AE95" s="9"/>
      <c r="AF95" s="9"/>
      <c r="AG95" s="9"/>
      <c r="AH95" s="9"/>
      <c r="AI95" s="26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</row>
    <row r="96" spans="4:114" x14ac:dyDescent="0.25">
      <c r="D96" s="14"/>
      <c r="E96" s="15"/>
      <c r="F96" s="14"/>
      <c r="G96" s="14"/>
      <c r="H96" s="14"/>
      <c r="I96" s="14"/>
      <c r="J96" s="14"/>
      <c r="K96" s="25"/>
      <c r="L96" s="34"/>
      <c r="M96" s="34"/>
      <c r="N96" s="9"/>
      <c r="O96" s="9"/>
      <c r="P96" s="9"/>
      <c r="Q96" s="9"/>
      <c r="R96" s="9"/>
      <c r="S96" s="26"/>
      <c r="T96" s="14"/>
      <c r="U96" s="14"/>
      <c r="V96" s="14"/>
      <c r="W96" s="14"/>
      <c r="X96" s="14"/>
      <c r="Y96" s="14"/>
      <c r="Z96" s="25"/>
      <c r="AA96" s="34"/>
      <c r="AB96" s="37"/>
      <c r="AC96" s="36" t="str">
        <f t="shared" si="1"/>
        <v/>
      </c>
      <c r="AD96" s="9"/>
      <c r="AE96" s="9"/>
      <c r="AF96" s="9"/>
      <c r="AG96" s="9"/>
      <c r="AH96" s="9"/>
      <c r="AI96" s="26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</row>
    <row r="97" spans="4:114" x14ac:dyDescent="0.25">
      <c r="D97" s="14"/>
      <c r="E97" s="15"/>
      <c r="F97" s="14"/>
      <c r="G97" s="14"/>
      <c r="H97" s="14"/>
      <c r="I97" s="14"/>
      <c r="J97" s="14"/>
      <c r="K97" s="25"/>
      <c r="L97" s="34"/>
      <c r="M97" s="34"/>
      <c r="N97" s="9"/>
      <c r="O97" s="9"/>
      <c r="P97" s="9"/>
      <c r="Q97" s="9"/>
      <c r="R97" s="9"/>
      <c r="S97" s="26"/>
      <c r="T97" s="14"/>
      <c r="U97" s="14"/>
      <c r="V97" s="14"/>
      <c r="W97" s="14"/>
      <c r="X97" s="14"/>
      <c r="Y97" s="14"/>
      <c r="Z97" s="25"/>
      <c r="AA97" s="34"/>
      <c r="AB97" s="37"/>
      <c r="AC97" s="36" t="str">
        <f t="shared" si="1"/>
        <v/>
      </c>
      <c r="AD97" s="9"/>
      <c r="AE97" s="9"/>
      <c r="AF97" s="9"/>
      <c r="AG97" s="9"/>
      <c r="AH97" s="9"/>
      <c r="AI97" s="26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</row>
    <row r="98" spans="4:114" x14ac:dyDescent="0.25">
      <c r="D98" s="14"/>
      <c r="E98" s="15"/>
      <c r="F98" s="14"/>
      <c r="G98" s="14"/>
      <c r="H98" s="14"/>
      <c r="I98" s="14"/>
      <c r="J98" s="14"/>
      <c r="K98" s="25"/>
      <c r="L98" s="34"/>
      <c r="M98" s="34"/>
      <c r="N98" s="9"/>
      <c r="O98" s="9"/>
      <c r="P98" s="9"/>
      <c r="Q98" s="9"/>
      <c r="R98" s="9"/>
      <c r="S98" s="26"/>
      <c r="T98" s="14"/>
      <c r="U98" s="14"/>
      <c r="V98" s="14"/>
      <c r="W98" s="14"/>
      <c r="X98" s="14"/>
      <c r="Y98" s="14"/>
      <c r="Z98" s="25"/>
      <c r="AA98" s="34"/>
      <c r="AB98" s="37"/>
      <c r="AC98" s="36" t="str">
        <f t="shared" si="1"/>
        <v/>
      </c>
      <c r="AD98" s="9"/>
      <c r="AE98" s="9"/>
      <c r="AF98" s="9"/>
      <c r="AG98" s="9"/>
      <c r="AH98" s="9"/>
      <c r="AI98" s="26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</row>
    <row r="99" spans="4:114" x14ac:dyDescent="0.25">
      <c r="D99" s="14"/>
      <c r="E99" s="15"/>
      <c r="F99" s="14"/>
      <c r="G99" s="14"/>
      <c r="H99" s="14"/>
      <c r="I99" s="14"/>
      <c r="J99" s="14"/>
      <c r="K99" s="25"/>
      <c r="L99" s="34"/>
      <c r="M99" s="34"/>
      <c r="N99" s="9"/>
      <c r="O99" s="9"/>
      <c r="P99" s="9"/>
      <c r="Q99" s="9"/>
      <c r="R99" s="9"/>
      <c r="S99" s="26"/>
      <c r="T99" s="14"/>
      <c r="U99" s="14"/>
      <c r="V99" s="14"/>
      <c r="W99" s="14"/>
      <c r="X99" s="14"/>
      <c r="Y99" s="14"/>
      <c r="Z99" s="25"/>
      <c r="AA99" s="34"/>
      <c r="AB99" s="37"/>
      <c r="AC99" s="36" t="str">
        <f t="shared" si="1"/>
        <v/>
      </c>
      <c r="AD99" s="9"/>
      <c r="AE99" s="9"/>
      <c r="AF99" s="9"/>
      <c r="AG99" s="9"/>
      <c r="AH99" s="9"/>
      <c r="AI99" s="26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</row>
    <row r="100" spans="4:114" x14ac:dyDescent="0.25">
      <c r="D100" s="14"/>
      <c r="E100" s="15"/>
      <c r="F100" s="14"/>
      <c r="G100" s="14"/>
      <c r="H100" s="14"/>
      <c r="I100" s="14"/>
      <c r="J100" s="14"/>
      <c r="K100" s="25"/>
      <c r="L100" s="34"/>
      <c r="M100" s="34"/>
      <c r="N100" s="9"/>
      <c r="O100" s="9"/>
      <c r="P100" s="9"/>
      <c r="Q100" s="9"/>
      <c r="R100" s="9"/>
      <c r="S100" s="26"/>
      <c r="T100" s="14"/>
      <c r="U100" s="14"/>
      <c r="V100" s="14"/>
      <c r="W100" s="14"/>
      <c r="X100" s="14"/>
      <c r="Y100" s="14"/>
      <c r="Z100" s="25"/>
      <c r="AA100" s="34"/>
      <c r="AB100" s="37"/>
      <c r="AC100" s="36" t="str">
        <f t="shared" si="1"/>
        <v/>
      </c>
      <c r="AD100" s="9"/>
      <c r="AE100" s="9"/>
      <c r="AF100" s="9"/>
      <c r="AG100" s="9"/>
      <c r="AH100" s="9"/>
      <c r="AI100" s="26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</row>
    <row r="101" spans="4:114" x14ac:dyDescent="0.25">
      <c r="D101" s="14"/>
      <c r="E101" s="15"/>
      <c r="F101" s="14"/>
      <c r="G101" s="14"/>
      <c r="H101" s="14"/>
      <c r="I101" s="14"/>
      <c r="J101" s="14"/>
      <c r="K101" s="25"/>
      <c r="L101" s="34"/>
      <c r="M101" s="34"/>
      <c r="N101" s="9"/>
      <c r="O101" s="9"/>
      <c r="P101" s="9"/>
      <c r="Q101" s="9"/>
      <c r="R101" s="9"/>
      <c r="S101" s="26"/>
      <c r="T101" s="14"/>
      <c r="U101" s="14"/>
      <c r="V101" s="14"/>
      <c r="W101" s="14"/>
      <c r="X101" s="14"/>
      <c r="Y101" s="14"/>
      <c r="Z101" s="25"/>
      <c r="AA101" s="34"/>
      <c r="AB101" s="37"/>
      <c r="AC101" s="36" t="str">
        <f t="shared" si="1"/>
        <v/>
      </c>
      <c r="AD101" s="9"/>
      <c r="AE101" s="9"/>
      <c r="AF101" s="9"/>
      <c r="AG101" s="9"/>
      <c r="AH101" s="9"/>
      <c r="AI101" s="26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</row>
    <row r="102" spans="4:114" x14ac:dyDescent="0.25">
      <c r="D102" s="14"/>
      <c r="E102" s="15"/>
      <c r="F102" s="14"/>
      <c r="G102" s="14"/>
      <c r="H102" s="14"/>
      <c r="I102" s="14"/>
      <c r="J102" s="14"/>
      <c r="K102" s="25"/>
      <c r="L102" s="34"/>
      <c r="M102" s="34"/>
      <c r="N102" s="9"/>
      <c r="O102" s="9"/>
      <c r="P102" s="9"/>
      <c r="Q102" s="9"/>
      <c r="R102" s="9"/>
      <c r="S102" s="26"/>
      <c r="T102" s="14"/>
      <c r="U102" s="14"/>
      <c r="V102" s="14"/>
      <c r="W102" s="14"/>
      <c r="X102" s="14"/>
      <c r="Y102" s="14"/>
      <c r="Z102" s="25"/>
      <c r="AA102" s="34"/>
      <c r="AB102" s="37"/>
      <c r="AC102" s="36" t="str">
        <f t="shared" si="1"/>
        <v/>
      </c>
      <c r="AD102" s="9"/>
      <c r="AE102" s="9"/>
      <c r="AF102" s="9"/>
      <c r="AG102" s="9"/>
      <c r="AH102" s="9"/>
      <c r="AI102" s="26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</row>
    <row r="103" spans="4:114" x14ac:dyDescent="0.25">
      <c r="D103" s="14"/>
      <c r="E103" s="15"/>
      <c r="F103" s="14"/>
      <c r="G103" s="14"/>
      <c r="H103" s="14"/>
      <c r="I103" s="14"/>
      <c r="J103" s="14"/>
      <c r="K103" s="25"/>
      <c r="L103" s="34"/>
      <c r="M103" s="34"/>
      <c r="N103" s="9"/>
      <c r="O103" s="9"/>
      <c r="P103" s="9"/>
      <c r="Q103" s="9"/>
      <c r="R103" s="9"/>
      <c r="S103" s="26"/>
      <c r="T103" s="14"/>
      <c r="U103" s="14"/>
      <c r="V103" s="14"/>
      <c r="W103" s="14"/>
      <c r="X103" s="14"/>
      <c r="Y103" s="14"/>
      <c r="Z103" s="25"/>
      <c r="AA103" s="34"/>
      <c r="AB103" s="37"/>
      <c r="AC103" s="36" t="str">
        <f t="shared" si="1"/>
        <v/>
      </c>
      <c r="AD103" s="9"/>
      <c r="AE103" s="9"/>
      <c r="AF103" s="9"/>
      <c r="AG103" s="9"/>
      <c r="AH103" s="9"/>
      <c r="AI103" s="26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</row>
    <row r="104" spans="4:114" x14ac:dyDescent="0.25">
      <c r="D104" s="14"/>
      <c r="E104" s="15"/>
      <c r="F104" s="14"/>
      <c r="G104" s="14"/>
      <c r="H104" s="14"/>
      <c r="I104" s="14"/>
      <c r="J104" s="14"/>
      <c r="K104" s="25"/>
      <c r="L104" s="34"/>
      <c r="M104" s="34"/>
      <c r="N104" s="9"/>
      <c r="O104" s="9"/>
      <c r="P104" s="9"/>
      <c r="Q104" s="9"/>
      <c r="R104" s="9"/>
      <c r="S104" s="26"/>
      <c r="T104" s="14"/>
      <c r="U104" s="14"/>
      <c r="V104" s="14"/>
      <c r="W104" s="14"/>
      <c r="X104" s="14"/>
      <c r="Y104" s="14"/>
      <c r="Z104" s="25"/>
      <c r="AA104" s="34"/>
      <c r="AB104" s="37"/>
      <c r="AC104" s="36" t="str">
        <f t="shared" si="1"/>
        <v/>
      </c>
      <c r="AD104" s="9"/>
      <c r="AE104" s="9"/>
      <c r="AF104" s="9"/>
      <c r="AG104" s="9"/>
      <c r="AH104" s="9"/>
      <c r="AI104" s="26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</row>
    <row r="105" spans="4:114" x14ac:dyDescent="0.25">
      <c r="D105" s="14"/>
      <c r="E105" s="15"/>
      <c r="F105" s="14"/>
      <c r="G105" s="14"/>
      <c r="H105" s="14"/>
      <c r="I105" s="14"/>
      <c r="J105" s="14"/>
      <c r="K105" s="25"/>
      <c r="L105" s="34"/>
      <c r="M105" s="34"/>
      <c r="N105" s="9"/>
      <c r="O105" s="9"/>
      <c r="P105" s="9"/>
      <c r="Q105" s="9"/>
      <c r="R105" s="9"/>
      <c r="S105" s="26"/>
      <c r="T105" s="14"/>
      <c r="U105" s="14"/>
      <c r="V105" s="14"/>
      <c r="W105" s="14"/>
      <c r="X105" s="14"/>
      <c r="Y105" s="14"/>
      <c r="Z105" s="25"/>
      <c r="AA105" s="34"/>
      <c r="AB105" s="37"/>
      <c r="AC105" s="36" t="str">
        <f t="shared" si="1"/>
        <v/>
      </c>
      <c r="AD105" s="9"/>
      <c r="AE105" s="9"/>
      <c r="AF105" s="9"/>
      <c r="AG105" s="9"/>
      <c r="AH105" s="9"/>
      <c r="AI105" s="26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</row>
    <row r="106" spans="4:114" x14ac:dyDescent="0.25">
      <c r="D106" s="14"/>
      <c r="E106" s="15"/>
      <c r="F106" s="14"/>
      <c r="G106" s="14"/>
      <c r="H106" s="14"/>
      <c r="I106" s="14"/>
      <c r="J106" s="14"/>
      <c r="K106" s="25"/>
      <c r="L106" s="34"/>
      <c r="M106" s="34"/>
      <c r="N106" s="9"/>
      <c r="O106" s="9"/>
      <c r="P106" s="9"/>
      <c r="Q106" s="9"/>
      <c r="R106" s="9"/>
      <c r="S106" s="26"/>
      <c r="T106" s="14"/>
      <c r="U106" s="14"/>
      <c r="V106" s="14"/>
      <c r="W106" s="14"/>
      <c r="X106" s="14"/>
      <c r="Y106" s="14"/>
      <c r="Z106" s="25"/>
      <c r="AA106" s="34"/>
      <c r="AB106" s="37"/>
      <c r="AC106" s="36" t="str">
        <f t="shared" si="1"/>
        <v/>
      </c>
      <c r="AD106" s="9"/>
      <c r="AE106" s="9"/>
      <c r="AF106" s="9"/>
      <c r="AG106" s="9"/>
      <c r="AH106" s="9"/>
      <c r="AI106" s="26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</row>
    <row r="107" spans="4:114" x14ac:dyDescent="0.25">
      <c r="D107" s="14"/>
      <c r="E107" s="15"/>
      <c r="F107" s="14"/>
      <c r="G107" s="14"/>
      <c r="H107" s="14"/>
      <c r="I107" s="14"/>
      <c r="J107" s="14"/>
      <c r="K107" s="25"/>
      <c r="L107" s="34"/>
      <c r="M107" s="34"/>
      <c r="N107" s="9"/>
      <c r="O107" s="9"/>
      <c r="P107" s="9"/>
      <c r="Q107" s="9"/>
      <c r="R107" s="9"/>
      <c r="S107" s="26"/>
      <c r="T107" s="14"/>
      <c r="U107" s="14"/>
      <c r="V107" s="14"/>
      <c r="W107" s="14"/>
      <c r="X107" s="14"/>
      <c r="Y107" s="14"/>
      <c r="Z107" s="25"/>
      <c r="AA107" s="34"/>
      <c r="AB107" s="37"/>
      <c r="AC107" s="36" t="str">
        <f t="shared" si="1"/>
        <v/>
      </c>
      <c r="AD107" s="9"/>
      <c r="AE107" s="9"/>
      <c r="AF107" s="9"/>
      <c r="AG107" s="9"/>
      <c r="AH107" s="9"/>
      <c r="AI107" s="26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</row>
    <row r="108" spans="4:114" x14ac:dyDescent="0.25">
      <c r="D108" s="14"/>
      <c r="E108" s="15"/>
      <c r="F108" s="14"/>
      <c r="G108" s="14"/>
      <c r="H108" s="14"/>
      <c r="I108" s="14"/>
      <c r="J108" s="14"/>
      <c r="K108" s="25"/>
      <c r="L108" s="34"/>
      <c r="M108" s="34"/>
      <c r="N108" s="9"/>
      <c r="O108" s="9"/>
      <c r="P108" s="9"/>
      <c r="Q108" s="9"/>
      <c r="R108" s="9"/>
      <c r="S108" s="26"/>
      <c r="T108" s="14"/>
      <c r="U108" s="14"/>
      <c r="V108" s="14"/>
      <c r="W108" s="14"/>
      <c r="X108" s="14"/>
      <c r="Y108" s="14"/>
      <c r="Z108" s="25"/>
      <c r="AA108" s="34"/>
      <c r="AB108" s="37"/>
      <c r="AC108" s="36" t="str">
        <f t="shared" si="1"/>
        <v/>
      </c>
      <c r="AD108" s="9"/>
      <c r="AE108" s="9"/>
      <c r="AF108" s="9"/>
      <c r="AG108" s="9"/>
      <c r="AH108" s="9"/>
      <c r="AI108" s="26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</row>
    <row r="109" spans="4:114" x14ac:dyDescent="0.25">
      <c r="D109" s="14"/>
      <c r="E109" s="15"/>
      <c r="F109" s="14"/>
      <c r="G109" s="14"/>
      <c r="H109" s="14"/>
      <c r="I109" s="14"/>
      <c r="J109" s="14"/>
      <c r="K109" s="25"/>
      <c r="L109" s="34"/>
      <c r="M109" s="34"/>
      <c r="N109" s="9"/>
      <c r="O109" s="9"/>
      <c r="P109" s="9"/>
      <c r="Q109" s="9"/>
      <c r="R109" s="9"/>
      <c r="S109" s="26"/>
      <c r="T109" s="14"/>
      <c r="U109" s="14"/>
      <c r="V109" s="14"/>
      <c r="W109" s="14"/>
      <c r="X109" s="14"/>
      <c r="Y109" s="14"/>
      <c r="Z109" s="25"/>
      <c r="AA109" s="34"/>
      <c r="AB109" s="37"/>
      <c r="AC109" s="36" t="str">
        <f t="shared" si="1"/>
        <v/>
      </c>
      <c r="AD109" s="9"/>
      <c r="AE109" s="9"/>
      <c r="AF109" s="9"/>
      <c r="AG109" s="9"/>
      <c r="AH109" s="9"/>
      <c r="AI109" s="26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</row>
    <row r="110" spans="4:114" x14ac:dyDescent="0.25">
      <c r="D110" s="14"/>
      <c r="E110" s="15"/>
      <c r="F110" s="14"/>
      <c r="G110" s="14"/>
      <c r="H110" s="14"/>
      <c r="I110" s="14"/>
      <c r="J110" s="14"/>
      <c r="K110" s="25"/>
      <c r="L110" s="34"/>
      <c r="M110" s="34"/>
      <c r="N110" s="9"/>
      <c r="O110" s="9"/>
      <c r="P110" s="9"/>
      <c r="Q110" s="9"/>
      <c r="R110" s="9"/>
      <c r="S110" s="26"/>
      <c r="T110" s="14"/>
      <c r="U110" s="14"/>
      <c r="V110" s="14"/>
      <c r="W110" s="14"/>
      <c r="X110" s="14"/>
      <c r="Y110" s="14"/>
      <c r="Z110" s="25"/>
      <c r="AA110" s="34"/>
      <c r="AB110" s="37"/>
      <c r="AC110" s="36" t="str">
        <f t="shared" si="1"/>
        <v/>
      </c>
      <c r="AD110" s="9"/>
      <c r="AE110" s="9"/>
      <c r="AF110" s="9"/>
      <c r="AG110" s="9"/>
      <c r="AH110" s="9"/>
      <c r="AI110" s="26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</row>
    <row r="111" spans="4:114" x14ac:dyDescent="0.25">
      <c r="D111" s="14"/>
      <c r="E111" s="15"/>
      <c r="F111" s="14"/>
      <c r="G111" s="14"/>
      <c r="H111" s="14"/>
      <c r="I111" s="14"/>
      <c r="J111" s="14"/>
      <c r="K111" s="25"/>
      <c r="L111" s="34"/>
      <c r="M111" s="34"/>
      <c r="N111" s="9"/>
      <c r="O111" s="9"/>
      <c r="P111" s="9"/>
      <c r="Q111" s="9"/>
      <c r="R111" s="9"/>
      <c r="S111" s="26"/>
      <c r="T111" s="14"/>
      <c r="U111" s="14"/>
      <c r="V111" s="14"/>
      <c r="W111" s="14"/>
      <c r="X111" s="14"/>
      <c r="Y111" s="14"/>
      <c r="Z111" s="25"/>
      <c r="AA111" s="34"/>
      <c r="AB111" s="37"/>
      <c r="AC111" s="36" t="str">
        <f t="shared" si="1"/>
        <v/>
      </c>
      <c r="AD111" s="9"/>
      <c r="AE111" s="9"/>
      <c r="AF111" s="9"/>
      <c r="AG111" s="9"/>
      <c r="AH111" s="9"/>
      <c r="AI111" s="26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</row>
    <row r="112" spans="4:114" x14ac:dyDescent="0.25">
      <c r="D112" s="14"/>
      <c r="E112" s="15"/>
      <c r="F112" s="14"/>
      <c r="G112" s="14"/>
      <c r="H112" s="14"/>
      <c r="I112" s="14"/>
      <c r="J112" s="14"/>
      <c r="K112" s="25"/>
      <c r="L112" s="34"/>
      <c r="M112" s="34"/>
      <c r="N112" s="9"/>
      <c r="O112" s="9"/>
      <c r="P112" s="9"/>
      <c r="Q112" s="9"/>
      <c r="R112" s="9"/>
      <c r="S112" s="26"/>
      <c r="T112" s="14"/>
      <c r="U112" s="14"/>
      <c r="V112" s="14"/>
      <c r="W112" s="14"/>
      <c r="X112" s="14"/>
      <c r="Y112" s="14"/>
      <c r="Z112" s="25"/>
      <c r="AA112" s="34"/>
      <c r="AB112" s="37"/>
      <c r="AC112" s="36" t="str">
        <f t="shared" si="1"/>
        <v/>
      </c>
      <c r="AD112" s="9"/>
      <c r="AE112" s="9"/>
      <c r="AF112" s="9"/>
      <c r="AG112" s="9"/>
      <c r="AH112" s="9"/>
      <c r="AI112" s="26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</row>
    <row r="113" spans="4:114" x14ac:dyDescent="0.25">
      <c r="D113" s="14"/>
      <c r="E113" s="15"/>
      <c r="F113" s="14"/>
      <c r="G113" s="14"/>
      <c r="H113" s="14"/>
      <c r="I113" s="14"/>
      <c r="J113" s="14"/>
      <c r="K113" s="25"/>
      <c r="L113" s="34"/>
      <c r="M113" s="34"/>
      <c r="N113" s="9"/>
      <c r="O113" s="9"/>
      <c r="P113" s="9"/>
      <c r="Q113" s="9"/>
      <c r="R113" s="9"/>
      <c r="S113" s="26"/>
      <c r="T113" s="14"/>
      <c r="U113" s="14"/>
      <c r="V113" s="14"/>
      <c r="W113" s="14"/>
      <c r="X113" s="14"/>
      <c r="Y113" s="14"/>
      <c r="Z113" s="25"/>
      <c r="AA113" s="34"/>
      <c r="AB113" s="37"/>
      <c r="AC113" s="36" t="str">
        <f t="shared" si="1"/>
        <v/>
      </c>
      <c r="AD113" s="9"/>
      <c r="AE113" s="9"/>
      <c r="AF113" s="9"/>
      <c r="AG113" s="9"/>
      <c r="AH113" s="9"/>
      <c r="AI113" s="26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</row>
    <row r="114" spans="4:114" x14ac:dyDescent="0.25">
      <c r="D114" s="14"/>
      <c r="E114" s="15"/>
      <c r="F114" s="14"/>
      <c r="G114" s="14"/>
      <c r="H114" s="14"/>
      <c r="I114" s="14"/>
      <c r="J114" s="14"/>
      <c r="K114" s="25"/>
      <c r="L114" s="34"/>
      <c r="M114" s="34"/>
      <c r="N114" s="9"/>
      <c r="O114" s="9"/>
      <c r="P114" s="9"/>
      <c r="Q114" s="9"/>
      <c r="R114" s="9"/>
      <c r="S114" s="26"/>
      <c r="T114" s="14"/>
      <c r="U114" s="14"/>
      <c r="V114" s="14"/>
      <c r="W114" s="14"/>
      <c r="X114" s="14"/>
      <c r="Y114" s="14"/>
      <c r="Z114" s="25"/>
      <c r="AA114" s="34"/>
      <c r="AB114" s="37"/>
      <c r="AC114" s="36" t="str">
        <f t="shared" si="1"/>
        <v/>
      </c>
      <c r="AD114" s="9"/>
      <c r="AE114" s="9"/>
      <c r="AF114" s="9"/>
      <c r="AG114" s="9"/>
      <c r="AH114" s="9"/>
      <c r="AI114" s="26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</row>
    <row r="115" spans="4:114" x14ac:dyDescent="0.25">
      <c r="D115" s="14"/>
      <c r="E115" s="15"/>
      <c r="F115" s="14"/>
      <c r="G115" s="14"/>
      <c r="H115" s="14"/>
      <c r="I115" s="14"/>
      <c r="J115" s="14"/>
      <c r="K115" s="25"/>
      <c r="L115" s="34"/>
      <c r="M115" s="34"/>
      <c r="N115" s="9"/>
      <c r="O115" s="9"/>
      <c r="P115" s="9"/>
      <c r="Q115" s="9"/>
      <c r="R115" s="9"/>
      <c r="S115" s="26"/>
      <c r="T115" s="14"/>
      <c r="U115" s="14"/>
      <c r="V115" s="14"/>
      <c r="W115" s="14"/>
      <c r="X115" s="14"/>
      <c r="Y115" s="14"/>
      <c r="Z115" s="25"/>
      <c r="AA115" s="34"/>
      <c r="AB115" s="37"/>
      <c r="AC115" s="36" t="str">
        <f t="shared" si="1"/>
        <v/>
      </c>
      <c r="AD115" s="9"/>
      <c r="AE115" s="9"/>
      <c r="AF115" s="9"/>
      <c r="AG115" s="9"/>
      <c r="AH115" s="9"/>
      <c r="AI115" s="26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</row>
    <row r="116" spans="4:114" x14ac:dyDescent="0.25">
      <c r="D116" s="14"/>
      <c r="E116" s="15"/>
      <c r="F116" s="14"/>
      <c r="G116" s="14"/>
      <c r="H116" s="14"/>
      <c r="I116" s="14"/>
      <c r="J116" s="14"/>
      <c r="K116" s="25"/>
      <c r="L116" s="34"/>
      <c r="M116" s="34"/>
      <c r="N116" s="9"/>
      <c r="O116" s="9"/>
      <c r="P116" s="9"/>
      <c r="Q116" s="9"/>
      <c r="R116" s="9"/>
      <c r="S116" s="26"/>
      <c r="T116" s="14"/>
      <c r="U116" s="14"/>
      <c r="V116" s="14"/>
      <c r="W116" s="14"/>
      <c r="X116" s="14"/>
      <c r="Y116" s="14"/>
      <c r="Z116" s="25"/>
      <c r="AA116" s="34"/>
      <c r="AB116" s="37"/>
      <c r="AC116" s="36" t="str">
        <f t="shared" si="1"/>
        <v/>
      </c>
      <c r="AD116" s="9"/>
      <c r="AE116" s="9"/>
      <c r="AF116" s="9"/>
      <c r="AG116" s="9"/>
      <c r="AH116" s="9"/>
      <c r="AI116" s="26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</row>
    <row r="117" spans="4:114" x14ac:dyDescent="0.25">
      <c r="D117" s="14"/>
      <c r="E117" s="15"/>
      <c r="F117" s="14"/>
      <c r="G117" s="14"/>
      <c r="H117" s="14"/>
      <c r="I117" s="14"/>
      <c r="J117" s="14"/>
      <c r="K117" s="25"/>
      <c r="L117" s="34"/>
      <c r="M117" s="34"/>
      <c r="N117" s="9"/>
      <c r="O117" s="9"/>
      <c r="P117" s="9"/>
      <c r="Q117" s="9"/>
      <c r="R117" s="9"/>
      <c r="S117" s="26"/>
      <c r="T117" s="14"/>
      <c r="U117" s="14"/>
      <c r="V117" s="14"/>
      <c r="W117" s="14"/>
      <c r="X117" s="14"/>
      <c r="Y117" s="14"/>
      <c r="Z117" s="25"/>
      <c r="AA117" s="34"/>
      <c r="AB117" s="37"/>
      <c r="AC117" s="36" t="str">
        <f t="shared" si="1"/>
        <v/>
      </c>
      <c r="AD117" s="9"/>
      <c r="AE117" s="9"/>
      <c r="AF117" s="9"/>
      <c r="AG117" s="9"/>
      <c r="AH117" s="9"/>
      <c r="AI117" s="26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</row>
    <row r="118" spans="4:114" x14ac:dyDescent="0.25">
      <c r="D118" s="14"/>
      <c r="E118" s="15"/>
      <c r="F118" s="14"/>
      <c r="G118" s="14"/>
      <c r="H118" s="14"/>
      <c r="I118" s="14"/>
      <c r="J118" s="14"/>
      <c r="K118" s="25"/>
      <c r="L118" s="34"/>
      <c r="M118" s="34"/>
      <c r="N118" s="9"/>
      <c r="O118" s="9"/>
      <c r="P118" s="9"/>
      <c r="Q118" s="9"/>
      <c r="R118" s="9"/>
      <c r="S118" s="26"/>
      <c r="T118" s="14"/>
      <c r="U118" s="14"/>
      <c r="V118" s="14"/>
      <c r="W118" s="14"/>
      <c r="X118" s="14"/>
      <c r="Y118" s="14"/>
      <c r="Z118" s="25"/>
      <c r="AA118" s="34"/>
      <c r="AB118" s="37"/>
      <c r="AC118" s="36" t="str">
        <f t="shared" si="1"/>
        <v/>
      </c>
      <c r="AD118" s="9"/>
      <c r="AE118" s="9"/>
      <c r="AF118" s="9"/>
      <c r="AG118" s="9"/>
      <c r="AH118" s="9"/>
      <c r="AI118" s="26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</row>
    <row r="119" spans="4:114" x14ac:dyDescent="0.25">
      <c r="D119" s="14"/>
      <c r="E119" s="15"/>
      <c r="F119" s="14"/>
      <c r="G119" s="14"/>
      <c r="H119" s="14"/>
      <c r="I119" s="14"/>
      <c r="J119" s="14"/>
      <c r="K119" s="25"/>
      <c r="L119" s="34"/>
      <c r="M119" s="34"/>
      <c r="N119" s="9"/>
      <c r="O119" s="9"/>
      <c r="P119" s="9"/>
      <c r="Q119" s="9"/>
      <c r="R119" s="9"/>
      <c r="S119" s="26"/>
      <c r="T119" s="14"/>
      <c r="U119" s="14"/>
      <c r="V119" s="14"/>
      <c r="W119" s="14"/>
      <c r="X119" s="14"/>
      <c r="Y119" s="14"/>
      <c r="Z119" s="25"/>
      <c r="AA119" s="34"/>
      <c r="AB119" s="37"/>
      <c r="AC119" s="36" t="str">
        <f t="shared" si="1"/>
        <v/>
      </c>
      <c r="AD119" s="9"/>
      <c r="AE119" s="9"/>
      <c r="AF119" s="9"/>
      <c r="AG119" s="9"/>
      <c r="AH119" s="9"/>
      <c r="AI119" s="26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</row>
    <row r="120" spans="4:114" x14ac:dyDescent="0.25">
      <c r="D120" s="14"/>
      <c r="E120" s="15"/>
      <c r="F120" s="14"/>
      <c r="G120" s="14"/>
      <c r="H120" s="14"/>
      <c r="I120" s="14"/>
      <c r="J120" s="14"/>
      <c r="K120" s="25"/>
      <c r="L120" s="34"/>
      <c r="M120" s="34"/>
      <c r="N120" s="9"/>
      <c r="O120" s="9"/>
      <c r="P120" s="9"/>
      <c r="Q120" s="9"/>
      <c r="R120" s="9"/>
      <c r="S120" s="26"/>
      <c r="T120" s="14"/>
      <c r="U120" s="14"/>
      <c r="V120" s="14"/>
      <c r="W120" s="14"/>
      <c r="X120" s="14"/>
      <c r="Y120" s="14"/>
      <c r="Z120" s="25"/>
      <c r="AA120" s="34"/>
      <c r="AB120" s="37"/>
      <c r="AC120" s="36" t="str">
        <f t="shared" si="1"/>
        <v/>
      </c>
      <c r="AD120" s="9"/>
      <c r="AE120" s="9"/>
      <c r="AF120" s="9"/>
      <c r="AG120" s="9"/>
      <c r="AH120" s="9"/>
      <c r="AI120" s="26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</row>
    <row r="121" spans="4:114" x14ac:dyDescent="0.25">
      <c r="D121" s="14"/>
      <c r="E121" s="15"/>
      <c r="F121" s="14"/>
      <c r="G121" s="14"/>
      <c r="H121" s="14"/>
      <c r="I121" s="14"/>
      <c r="J121" s="14"/>
      <c r="K121" s="25"/>
      <c r="L121" s="34"/>
      <c r="M121" s="34"/>
      <c r="N121" s="9"/>
      <c r="O121" s="9"/>
      <c r="P121" s="9"/>
      <c r="Q121" s="9"/>
      <c r="R121" s="9"/>
      <c r="S121" s="26"/>
      <c r="T121" s="14"/>
      <c r="U121" s="14"/>
      <c r="V121" s="14"/>
      <c r="W121" s="14"/>
      <c r="X121" s="14"/>
      <c r="Y121" s="14"/>
      <c r="Z121" s="25"/>
      <c r="AA121" s="34"/>
      <c r="AB121" s="37"/>
      <c r="AC121" s="36" t="str">
        <f t="shared" si="1"/>
        <v/>
      </c>
      <c r="AD121" s="9"/>
      <c r="AE121" s="9"/>
      <c r="AF121" s="9"/>
      <c r="AG121" s="9"/>
      <c r="AH121" s="9"/>
      <c r="AI121" s="26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</row>
    <row r="122" spans="4:114" x14ac:dyDescent="0.25">
      <c r="D122" s="14"/>
      <c r="E122" s="15"/>
      <c r="F122" s="14"/>
      <c r="G122" s="14"/>
      <c r="H122" s="14"/>
      <c r="I122" s="14"/>
      <c r="J122" s="14"/>
      <c r="K122" s="25"/>
      <c r="L122" s="34"/>
      <c r="M122" s="34"/>
      <c r="N122" s="9"/>
      <c r="O122" s="9"/>
      <c r="P122" s="9"/>
      <c r="Q122" s="9"/>
      <c r="R122" s="9"/>
      <c r="S122" s="26"/>
      <c r="T122" s="14"/>
      <c r="U122" s="14"/>
      <c r="V122" s="14"/>
      <c r="W122" s="14"/>
      <c r="X122" s="14"/>
      <c r="Y122" s="14"/>
      <c r="Z122" s="25"/>
      <c r="AA122" s="34"/>
      <c r="AB122" s="37"/>
      <c r="AC122" s="36" t="str">
        <f t="shared" si="1"/>
        <v/>
      </c>
      <c r="AD122" s="9"/>
      <c r="AE122" s="9"/>
      <c r="AF122" s="9"/>
      <c r="AG122" s="9"/>
      <c r="AH122" s="9"/>
      <c r="AI122" s="26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</row>
    <row r="123" spans="4:114" x14ac:dyDescent="0.25">
      <c r="D123" s="14"/>
      <c r="E123" s="15"/>
      <c r="F123" s="14"/>
      <c r="G123" s="14"/>
      <c r="H123" s="14"/>
      <c r="I123" s="14"/>
      <c r="J123" s="14"/>
      <c r="K123" s="25"/>
      <c r="L123" s="34"/>
      <c r="M123" s="34"/>
      <c r="N123" s="9"/>
      <c r="O123" s="9"/>
      <c r="P123" s="9"/>
      <c r="Q123" s="9"/>
      <c r="R123" s="9"/>
      <c r="S123" s="26"/>
      <c r="T123" s="14"/>
      <c r="U123" s="14"/>
      <c r="V123" s="14"/>
      <c r="W123" s="14"/>
      <c r="X123" s="14"/>
      <c r="Y123" s="14"/>
      <c r="Z123" s="25"/>
      <c r="AA123" s="34"/>
      <c r="AB123" s="37"/>
      <c r="AC123" s="36" t="str">
        <f t="shared" si="1"/>
        <v/>
      </c>
      <c r="AD123" s="9"/>
      <c r="AE123" s="9"/>
      <c r="AF123" s="9"/>
      <c r="AG123" s="9"/>
      <c r="AH123" s="9"/>
      <c r="AI123" s="26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</row>
    <row r="124" spans="4:114" x14ac:dyDescent="0.25">
      <c r="D124" s="14"/>
      <c r="E124" s="15"/>
      <c r="F124" s="14"/>
      <c r="G124" s="14"/>
      <c r="H124" s="14"/>
      <c r="I124" s="14"/>
      <c r="J124" s="14"/>
      <c r="K124" s="25"/>
      <c r="L124" s="34"/>
      <c r="M124" s="34"/>
      <c r="N124" s="9"/>
      <c r="O124" s="9"/>
      <c r="P124" s="9"/>
      <c r="Q124" s="9"/>
      <c r="R124" s="9"/>
      <c r="S124" s="26"/>
      <c r="T124" s="14"/>
      <c r="U124" s="14"/>
      <c r="V124" s="14"/>
      <c r="W124" s="14"/>
      <c r="X124" s="14"/>
      <c r="Y124" s="14"/>
      <c r="Z124" s="25"/>
      <c r="AA124" s="34"/>
      <c r="AB124" s="37"/>
      <c r="AC124" s="36" t="str">
        <f t="shared" si="1"/>
        <v/>
      </c>
      <c r="AD124" s="9"/>
      <c r="AE124" s="9"/>
      <c r="AF124" s="9"/>
      <c r="AG124" s="9"/>
      <c r="AH124" s="9"/>
      <c r="AI124" s="26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</row>
    <row r="125" spans="4:114" x14ac:dyDescent="0.25">
      <c r="D125" s="14"/>
      <c r="E125" s="15"/>
      <c r="F125" s="14"/>
      <c r="G125" s="14"/>
      <c r="H125" s="14"/>
      <c r="I125" s="14"/>
      <c r="J125" s="14"/>
      <c r="K125" s="25"/>
      <c r="L125" s="34"/>
      <c r="M125" s="34"/>
      <c r="N125" s="9"/>
      <c r="O125" s="9"/>
      <c r="P125" s="9"/>
      <c r="Q125" s="9"/>
      <c r="R125" s="9"/>
      <c r="S125" s="26"/>
      <c r="T125" s="14"/>
      <c r="U125" s="14"/>
      <c r="V125" s="14"/>
      <c r="W125" s="14"/>
      <c r="X125" s="14"/>
      <c r="Y125" s="14"/>
      <c r="Z125" s="25"/>
      <c r="AA125" s="34"/>
      <c r="AB125" s="37"/>
      <c r="AC125" s="36" t="str">
        <f t="shared" si="1"/>
        <v/>
      </c>
      <c r="AD125" s="9"/>
      <c r="AE125" s="9"/>
      <c r="AF125" s="9"/>
      <c r="AG125" s="9"/>
      <c r="AH125" s="9"/>
      <c r="AI125" s="26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</row>
    <row r="126" spans="4:114" x14ac:dyDescent="0.25">
      <c r="D126" s="14"/>
      <c r="E126" s="15"/>
      <c r="F126" s="14"/>
      <c r="G126" s="14"/>
      <c r="H126" s="14"/>
      <c r="I126" s="14"/>
      <c r="J126" s="14"/>
      <c r="K126" s="25"/>
      <c r="L126" s="34"/>
      <c r="M126" s="34"/>
      <c r="N126" s="9"/>
      <c r="O126" s="9"/>
      <c r="P126" s="9"/>
      <c r="Q126" s="9"/>
      <c r="R126" s="9"/>
      <c r="S126" s="26"/>
      <c r="T126" s="14"/>
      <c r="U126" s="14"/>
      <c r="V126" s="14"/>
      <c r="W126" s="14"/>
      <c r="X126" s="14"/>
      <c r="Y126" s="14"/>
      <c r="Z126" s="25"/>
      <c r="AA126" s="34"/>
      <c r="AB126" s="37"/>
      <c r="AC126" s="36" t="str">
        <f t="shared" si="1"/>
        <v/>
      </c>
      <c r="AD126" s="9"/>
      <c r="AE126" s="9"/>
      <c r="AF126" s="9"/>
      <c r="AG126" s="9"/>
      <c r="AH126" s="9"/>
      <c r="AI126" s="26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</row>
    <row r="127" spans="4:114" x14ac:dyDescent="0.25">
      <c r="D127" s="14"/>
      <c r="E127" s="15"/>
      <c r="F127" s="14"/>
      <c r="G127" s="14"/>
      <c r="H127" s="14"/>
      <c r="I127" s="14"/>
      <c r="J127" s="14"/>
      <c r="K127" s="25"/>
      <c r="L127" s="34"/>
      <c r="M127" s="34"/>
      <c r="N127" s="9"/>
      <c r="O127" s="9"/>
      <c r="P127" s="9"/>
      <c r="Q127" s="9"/>
      <c r="R127" s="9"/>
      <c r="S127" s="26"/>
      <c r="T127" s="14"/>
      <c r="U127" s="14"/>
      <c r="V127" s="14"/>
      <c r="W127" s="14"/>
      <c r="X127" s="14"/>
      <c r="Y127" s="14"/>
      <c r="Z127" s="25"/>
      <c r="AA127" s="34"/>
      <c r="AB127" s="37"/>
      <c r="AC127" s="36" t="str">
        <f t="shared" si="1"/>
        <v/>
      </c>
      <c r="AD127" s="9"/>
      <c r="AE127" s="9"/>
      <c r="AF127" s="9"/>
      <c r="AG127" s="9"/>
      <c r="AH127" s="9"/>
      <c r="AI127" s="26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</row>
    <row r="128" spans="4:114" x14ac:dyDescent="0.25">
      <c r="D128" s="14"/>
      <c r="E128" s="15"/>
      <c r="F128" s="14"/>
      <c r="G128" s="14"/>
      <c r="H128" s="14"/>
      <c r="I128" s="14"/>
      <c r="J128" s="14"/>
      <c r="K128" s="25"/>
      <c r="L128" s="34"/>
      <c r="M128" s="34"/>
      <c r="N128" s="9"/>
      <c r="O128" s="9"/>
      <c r="P128" s="9"/>
      <c r="Q128" s="9"/>
      <c r="R128" s="9"/>
      <c r="S128" s="26"/>
      <c r="T128" s="14"/>
      <c r="U128" s="14"/>
      <c r="V128" s="14"/>
      <c r="W128" s="14"/>
      <c r="X128" s="14"/>
      <c r="Y128" s="14"/>
      <c r="Z128" s="25"/>
      <c r="AA128" s="34"/>
      <c r="AB128" s="37"/>
      <c r="AC128" s="36" t="str">
        <f t="shared" si="1"/>
        <v/>
      </c>
      <c r="AD128" s="9"/>
      <c r="AE128" s="9"/>
      <c r="AF128" s="9"/>
      <c r="AG128" s="9"/>
      <c r="AH128" s="9"/>
      <c r="AI128" s="26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</row>
    <row r="129" spans="4:114" x14ac:dyDescent="0.25">
      <c r="D129" s="14"/>
      <c r="E129" s="15"/>
      <c r="F129" s="14"/>
      <c r="G129" s="14"/>
      <c r="H129" s="14"/>
      <c r="I129" s="14"/>
      <c r="J129" s="14"/>
      <c r="K129" s="25"/>
      <c r="L129" s="34"/>
      <c r="M129" s="34"/>
      <c r="N129" s="9"/>
      <c r="O129" s="9"/>
      <c r="P129" s="9"/>
      <c r="Q129" s="9"/>
      <c r="R129" s="9"/>
      <c r="S129" s="26"/>
      <c r="T129" s="14"/>
      <c r="U129" s="14"/>
      <c r="V129" s="14"/>
      <c r="W129" s="14"/>
      <c r="X129" s="14"/>
      <c r="Y129" s="14"/>
      <c r="Z129" s="25"/>
      <c r="AA129" s="34"/>
      <c r="AB129" s="37"/>
      <c r="AC129" s="36" t="str">
        <f t="shared" si="1"/>
        <v/>
      </c>
      <c r="AD129" s="9"/>
      <c r="AE129" s="9"/>
      <c r="AF129" s="9"/>
      <c r="AG129" s="9"/>
      <c r="AH129" s="9"/>
      <c r="AI129" s="26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</row>
    <row r="130" spans="4:114" x14ac:dyDescent="0.25">
      <c r="D130" s="14"/>
      <c r="E130" s="15"/>
      <c r="F130" s="14"/>
      <c r="G130" s="14"/>
      <c r="H130" s="14"/>
      <c r="I130" s="14"/>
      <c r="J130" s="14"/>
      <c r="K130" s="25"/>
      <c r="L130" s="34"/>
      <c r="M130" s="34"/>
      <c r="N130" s="9"/>
      <c r="O130" s="9"/>
      <c r="P130" s="9"/>
      <c r="Q130" s="9"/>
      <c r="R130" s="9"/>
      <c r="S130" s="26"/>
      <c r="T130" s="14"/>
      <c r="U130" s="14"/>
      <c r="V130" s="14"/>
      <c r="W130" s="14"/>
      <c r="X130" s="14"/>
      <c r="Y130" s="14"/>
      <c r="Z130" s="25"/>
      <c r="AA130" s="34"/>
      <c r="AB130" s="37"/>
      <c r="AC130" s="36" t="str">
        <f t="shared" si="1"/>
        <v/>
      </c>
      <c r="AD130" s="9"/>
      <c r="AE130" s="9"/>
      <c r="AF130" s="9"/>
      <c r="AG130" s="9"/>
      <c r="AH130" s="9"/>
      <c r="AI130" s="26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</row>
    <row r="131" spans="4:114" x14ac:dyDescent="0.25">
      <c r="D131" s="14"/>
      <c r="E131" s="15"/>
      <c r="F131" s="14"/>
      <c r="G131" s="14"/>
      <c r="H131" s="14"/>
      <c r="I131" s="14"/>
      <c r="J131" s="14"/>
      <c r="K131" s="25"/>
      <c r="L131" s="34"/>
      <c r="M131" s="34"/>
      <c r="N131" s="9"/>
      <c r="O131" s="9"/>
      <c r="P131" s="9"/>
      <c r="Q131" s="9"/>
      <c r="R131" s="9"/>
      <c r="S131" s="26"/>
      <c r="T131" s="14"/>
      <c r="U131" s="14"/>
      <c r="V131" s="14"/>
      <c r="W131" s="14"/>
      <c r="X131" s="14"/>
      <c r="Y131" s="14"/>
      <c r="Z131" s="25"/>
      <c r="AA131" s="34"/>
      <c r="AB131" s="37"/>
      <c r="AC131" s="36" t="str">
        <f t="shared" si="1"/>
        <v/>
      </c>
      <c r="AD131" s="9"/>
      <c r="AE131" s="9"/>
      <c r="AF131" s="9"/>
      <c r="AG131" s="9"/>
      <c r="AH131" s="9"/>
      <c r="AI131" s="26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</row>
    <row r="132" spans="4:114" x14ac:dyDescent="0.25">
      <c r="D132" s="14"/>
      <c r="E132" s="15"/>
      <c r="F132" s="14"/>
      <c r="G132" s="14"/>
      <c r="H132" s="14"/>
      <c r="I132" s="14"/>
      <c r="J132" s="14"/>
      <c r="K132" s="25"/>
      <c r="L132" s="34"/>
      <c r="M132" s="34"/>
      <c r="N132" s="9"/>
      <c r="O132" s="9"/>
      <c r="P132" s="9"/>
      <c r="Q132" s="9"/>
      <c r="R132" s="9"/>
      <c r="S132" s="26"/>
      <c r="T132" s="14"/>
      <c r="U132" s="14"/>
      <c r="V132" s="14"/>
      <c r="W132" s="14"/>
      <c r="X132" s="14"/>
      <c r="Y132" s="14"/>
      <c r="Z132" s="25"/>
      <c r="AA132" s="34"/>
      <c r="AB132" s="37"/>
      <c r="AC132" s="36" t="str">
        <f t="shared" si="1"/>
        <v/>
      </c>
      <c r="AD132" s="9"/>
      <c r="AE132" s="9"/>
      <c r="AF132" s="9"/>
      <c r="AG132" s="9"/>
      <c r="AH132" s="9"/>
      <c r="AI132" s="26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</row>
    <row r="133" spans="4:114" x14ac:dyDescent="0.25">
      <c r="D133" s="14"/>
      <c r="E133" s="15"/>
      <c r="F133" s="14"/>
      <c r="G133" s="14"/>
      <c r="H133" s="14"/>
      <c r="I133" s="14"/>
      <c r="J133" s="14"/>
      <c r="K133" s="25"/>
      <c r="L133" s="34"/>
      <c r="M133" s="34"/>
      <c r="N133" s="9"/>
      <c r="O133" s="9"/>
      <c r="P133" s="9"/>
      <c r="Q133" s="9"/>
      <c r="R133" s="9"/>
      <c r="S133" s="26"/>
      <c r="T133" s="14"/>
      <c r="U133" s="14"/>
      <c r="V133" s="14"/>
      <c r="W133" s="14"/>
      <c r="X133" s="14"/>
      <c r="Y133" s="14"/>
      <c r="Z133" s="25"/>
      <c r="AA133" s="34"/>
      <c r="AB133" s="37"/>
      <c r="AC133" s="36" t="str">
        <f t="shared" si="1"/>
        <v/>
      </c>
      <c r="AD133" s="9"/>
      <c r="AE133" s="9"/>
      <c r="AF133" s="9"/>
      <c r="AG133" s="9"/>
      <c r="AH133" s="9"/>
      <c r="AI133" s="26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</row>
    <row r="134" spans="4:114" x14ac:dyDescent="0.25">
      <c r="D134" s="14"/>
      <c r="E134" s="15"/>
      <c r="F134" s="14"/>
      <c r="G134" s="14"/>
      <c r="H134" s="14"/>
      <c r="I134" s="14"/>
      <c r="J134" s="14"/>
      <c r="K134" s="25"/>
      <c r="L134" s="34"/>
      <c r="M134" s="34"/>
      <c r="N134" s="9"/>
      <c r="O134" s="9"/>
      <c r="P134" s="9"/>
      <c r="Q134" s="9"/>
      <c r="R134" s="9"/>
      <c r="S134" s="26"/>
      <c r="T134" s="14"/>
      <c r="U134" s="14"/>
      <c r="V134" s="14"/>
      <c r="W134" s="14"/>
      <c r="X134" s="14"/>
      <c r="Y134" s="14"/>
      <c r="Z134" s="25"/>
      <c r="AA134" s="34"/>
      <c r="AB134" s="37"/>
      <c r="AC134" s="36" t="str">
        <f t="shared" si="1"/>
        <v/>
      </c>
      <c r="AD134" s="9"/>
      <c r="AE134" s="9"/>
      <c r="AF134" s="9"/>
      <c r="AG134" s="9"/>
      <c r="AH134" s="9"/>
      <c r="AI134" s="26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</row>
    <row r="135" spans="4:114" x14ac:dyDescent="0.25">
      <c r="D135" s="14"/>
      <c r="E135" s="15"/>
      <c r="F135" s="14"/>
      <c r="G135" s="14"/>
      <c r="H135" s="14"/>
      <c r="I135" s="14"/>
      <c r="J135" s="14"/>
      <c r="K135" s="25"/>
      <c r="L135" s="34"/>
      <c r="M135" s="34"/>
      <c r="N135" s="9"/>
      <c r="O135" s="9"/>
      <c r="P135" s="9"/>
      <c r="Q135" s="9"/>
      <c r="R135" s="9"/>
      <c r="S135" s="26"/>
      <c r="T135" s="14"/>
      <c r="U135" s="14"/>
      <c r="V135" s="14"/>
      <c r="W135" s="14"/>
      <c r="X135" s="14"/>
      <c r="Y135" s="14"/>
      <c r="Z135" s="25"/>
      <c r="AA135" s="34"/>
      <c r="AB135" s="37"/>
      <c r="AC135" s="36" t="str">
        <f t="shared" si="1"/>
        <v/>
      </c>
      <c r="AD135" s="9"/>
      <c r="AE135" s="9"/>
      <c r="AF135" s="9"/>
      <c r="AG135" s="9"/>
      <c r="AH135" s="9"/>
      <c r="AI135" s="26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</row>
    <row r="136" spans="4:114" x14ac:dyDescent="0.25">
      <c r="D136" s="14"/>
      <c r="E136" s="15"/>
      <c r="F136" s="14"/>
      <c r="G136" s="14"/>
      <c r="H136" s="14"/>
      <c r="I136" s="14"/>
      <c r="J136" s="14"/>
      <c r="K136" s="25"/>
      <c r="L136" s="34"/>
      <c r="M136" s="34"/>
      <c r="N136" s="9"/>
      <c r="O136" s="9"/>
      <c r="P136" s="9"/>
      <c r="Q136" s="9"/>
      <c r="R136" s="9"/>
      <c r="S136" s="26"/>
      <c r="T136" s="14"/>
      <c r="U136" s="14"/>
      <c r="V136" s="14"/>
      <c r="W136" s="14"/>
      <c r="X136" s="14"/>
      <c r="Y136" s="14"/>
      <c r="Z136" s="25"/>
      <c r="AA136" s="34"/>
      <c r="AB136" s="37"/>
      <c r="AC136" s="36" t="str">
        <f t="shared" si="1"/>
        <v/>
      </c>
      <c r="AD136" s="9"/>
      <c r="AE136" s="9"/>
      <c r="AF136" s="9"/>
      <c r="AG136" s="9"/>
      <c r="AH136" s="9"/>
      <c r="AI136" s="26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</row>
    <row r="137" spans="4:114" x14ac:dyDescent="0.25">
      <c r="D137" s="14"/>
      <c r="E137" s="15"/>
      <c r="F137" s="14"/>
      <c r="G137" s="14"/>
      <c r="H137" s="14"/>
      <c r="I137" s="14"/>
      <c r="J137" s="14"/>
      <c r="K137" s="25"/>
      <c r="L137" s="34"/>
      <c r="M137" s="34"/>
      <c r="N137" s="9"/>
      <c r="O137" s="9"/>
      <c r="P137" s="9"/>
      <c r="Q137" s="9"/>
      <c r="R137" s="9"/>
      <c r="S137" s="26"/>
      <c r="T137" s="14"/>
      <c r="U137" s="14"/>
      <c r="V137" s="14"/>
      <c r="W137" s="14"/>
      <c r="X137" s="14"/>
      <c r="Y137" s="14"/>
      <c r="Z137" s="25"/>
      <c r="AA137" s="34"/>
      <c r="AB137" s="37"/>
      <c r="AC137" s="36" t="str">
        <f t="shared" si="1"/>
        <v/>
      </c>
      <c r="AD137" s="9"/>
      <c r="AE137" s="9"/>
      <c r="AF137" s="9"/>
      <c r="AG137" s="9"/>
      <c r="AH137" s="9"/>
      <c r="AI137" s="26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</row>
    <row r="138" spans="4:114" x14ac:dyDescent="0.25">
      <c r="D138" s="14"/>
      <c r="E138" s="15"/>
      <c r="F138" s="14"/>
      <c r="G138" s="14"/>
      <c r="H138" s="14"/>
      <c r="I138" s="14"/>
      <c r="J138" s="14"/>
      <c r="K138" s="25"/>
      <c r="L138" s="34"/>
      <c r="M138" s="34"/>
      <c r="N138" s="9"/>
      <c r="O138" s="9"/>
      <c r="P138" s="9"/>
      <c r="Q138" s="9"/>
      <c r="R138" s="9"/>
      <c r="S138" s="26"/>
      <c r="T138" s="14"/>
      <c r="U138" s="14"/>
      <c r="V138" s="14"/>
      <c r="W138" s="14"/>
      <c r="X138" s="14"/>
      <c r="Y138" s="14"/>
      <c r="Z138" s="25"/>
      <c r="AA138" s="34"/>
      <c r="AB138" s="37"/>
      <c r="AC138" s="36" t="str">
        <f t="shared" si="1"/>
        <v/>
      </c>
      <c r="AD138" s="9"/>
      <c r="AE138" s="9"/>
      <c r="AF138" s="9"/>
      <c r="AG138" s="9"/>
      <c r="AH138" s="9"/>
      <c r="AI138" s="26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</row>
    <row r="139" spans="4:114" x14ac:dyDescent="0.25">
      <c r="D139" s="14"/>
      <c r="E139" s="15"/>
      <c r="F139" s="14"/>
      <c r="G139" s="14"/>
      <c r="H139" s="14"/>
      <c r="I139" s="14"/>
      <c r="J139" s="14"/>
      <c r="K139" s="25"/>
      <c r="L139" s="34"/>
      <c r="M139" s="34"/>
      <c r="N139" s="9"/>
      <c r="O139" s="9"/>
      <c r="P139" s="9"/>
      <c r="Q139" s="9"/>
      <c r="R139" s="9"/>
      <c r="S139" s="26"/>
      <c r="T139" s="14"/>
      <c r="U139" s="14"/>
      <c r="V139" s="14"/>
      <c r="W139" s="14"/>
      <c r="X139" s="14"/>
      <c r="Y139" s="14"/>
      <c r="Z139" s="25"/>
      <c r="AA139" s="34"/>
      <c r="AB139" s="37"/>
      <c r="AC139" s="36" t="str">
        <f t="shared" si="1"/>
        <v/>
      </c>
      <c r="AD139" s="9"/>
      <c r="AE139" s="9"/>
      <c r="AF139" s="9"/>
      <c r="AG139" s="9"/>
      <c r="AH139" s="9"/>
      <c r="AI139" s="26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</row>
    <row r="140" spans="4:114" x14ac:dyDescent="0.25">
      <c r="D140" s="14"/>
      <c r="E140" s="15"/>
      <c r="F140" s="14"/>
      <c r="G140" s="14"/>
      <c r="H140" s="14"/>
      <c r="I140" s="14"/>
      <c r="J140" s="14"/>
      <c r="K140" s="25"/>
      <c r="L140" s="34"/>
      <c r="M140" s="34"/>
      <c r="N140" s="9"/>
      <c r="O140" s="9"/>
      <c r="P140" s="9"/>
      <c r="Q140" s="9"/>
      <c r="R140" s="9"/>
      <c r="S140" s="26"/>
      <c r="T140" s="14"/>
      <c r="U140" s="14"/>
      <c r="V140" s="14"/>
      <c r="W140" s="14"/>
      <c r="X140" s="14"/>
      <c r="Y140" s="14"/>
      <c r="Z140" s="25"/>
      <c r="AA140" s="34"/>
      <c r="AB140" s="37"/>
      <c r="AC140" s="36" t="str">
        <f t="shared" si="1"/>
        <v/>
      </c>
      <c r="AD140" s="9"/>
      <c r="AE140" s="9"/>
      <c r="AF140" s="9"/>
      <c r="AG140" s="9"/>
      <c r="AH140" s="9"/>
      <c r="AI140" s="26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</row>
    <row r="141" spans="4:114" x14ac:dyDescent="0.25">
      <c r="D141" s="14"/>
      <c r="E141" s="15"/>
      <c r="F141" s="14"/>
      <c r="G141" s="14"/>
      <c r="H141" s="14"/>
      <c r="I141" s="14"/>
      <c r="J141" s="14"/>
      <c r="K141" s="25"/>
      <c r="L141" s="34"/>
      <c r="M141" s="34"/>
      <c r="N141" s="9"/>
      <c r="O141" s="9"/>
      <c r="P141" s="9"/>
      <c r="Q141" s="9"/>
      <c r="R141" s="9"/>
      <c r="S141" s="26"/>
      <c r="T141" s="14"/>
      <c r="U141" s="14"/>
      <c r="V141" s="14"/>
      <c r="W141" s="14"/>
      <c r="X141" s="14"/>
      <c r="Y141" s="14"/>
      <c r="Z141" s="25"/>
      <c r="AA141" s="34"/>
      <c r="AB141" s="37"/>
      <c r="AC141" s="36" t="str">
        <f t="shared" ref="AC141:AC204" si="2">IF(AB141="","",MID(AB141,14,IFERROR(FIND(", Powiat",AB141,1),FIND(", Powiat",AB141,1))-LEN("Województwo: ")-1))</f>
        <v/>
      </c>
      <c r="AD141" s="9"/>
      <c r="AE141" s="9"/>
      <c r="AF141" s="9"/>
      <c r="AG141" s="9"/>
      <c r="AH141" s="9"/>
      <c r="AI141" s="26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</row>
    <row r="142" spans="4:114" x14ac:dyDescent="0.25">
      <c r="D142" s="14"/>
      <c r="E142" s="15"/>
      <c r="F142" s="14"/>
      <c r="G142" s="14"/>
      <c r="H142" s="14"/>
      <c r="I142" s="14"/>
      <c r="J142" s="14"/>
      <c r="K142" s="25"/>
      <c r="L142" s="34"/>
      <c r="M142" s="34"/>
      <c r="N142" s="9"/>
      <c r="O142" s="9"/>
      <c r="P142" s="9"/>
      <c r="Q142" s="9"/>
      <c r="R142" s="9"/>
      <c r="S142" s="26"/>
      <c r="T142" s="14"/>
      <c r="U142" s="14"/>
      <c r="V142" s="14"/>
      <c r="W142" s="14"/>
      <c r="X142" s="14"/>
      <c r="Y142" s="14"/>
      <c r="Z142" s="25"/>
      <c r="AA142" s="34"/>
      <c r="AB142" s="37"/>
      <c r="AC142" s="36" t="str">
        <f t="shared" si="2"/>
        <v/>
      </c>
      <c r="AD142" s="9"/>
      <c r="AE142" s="9"/>
      <c r="AF142" s="9"/>
      <c r="AG142" s="9"/>
      <c r="AH142" s="9"/>
      <c r="AI142" s="26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</row>
    <row r="143" spans="4:114" x14ac:dyDescent="0.25">
      <c r="D143" s="14"/>
      <c r="E143" s="15"/>
      <c r="F143" s="14"/>
      <c r="G143" s="14"/>
      <c r="H143" s="14"/>
      <c r="I143" s="14"/>
      <c r="J143" s="14"/>
      <c r="K143" s="25"/>
      <c r="L143" s="34"/>
      <c r="M143" s="34"/>
      <c r="N143" s="9"/>
      <c r="O143" s="9"/>
      <c r="P143" s="9"/>
      <c r="Q143" s="9"/>
      <c r="R143" s="9"/>
      <c r="S143" s="26"/>
      <c r="T143" s="14"/>
      <c r="U143" s="14"/>
      <c r="V143" s="14"/>
      <c r="W143" s="14"/>
      <c r="X143" s="14"/>
      <c r="Y143" s="14"/>
      <c r="Z143" s="25"/>
      <c r="AA143" s="34"/>
      <c r="AB143" s="37"/>
      <c r="AC143" s="36" t="str">
        <f t="shared" si="2"/>
        <v/>
      </c>
      <c r="AD143" s="9"/>
      <c r="AE143" s="9"/>
      <c r="AF143" s="9"/>
      <c r="AG143" s="9"/>
      <c r="AH143" s="9"/>
      <c r="AI143" s="26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</row>
    <row r="144" spans="4:114" x14ac:dyDescent="0.25">
      <c r="D144" s="14"/>
      <c r="E144" s="15"/>
      <c r="F144" s="14"/>
      <c r="G144" s="14"/>
      <c r="H144" s="14"/>
      <c r="I144" s="14"/>
      <c r="J144" s="14"/>
      <c r="K144" s="25"/>
      <c r="L144" s="34"/>
      <c r="M144" s="34"/>
      <c r="N144" s="9"/>
      <c r="O144" s="9"/>
      <c r="P144" s="9"/>
      <c r="Q144" s="9"/>
      <c r="R144" s="9"/>
      <c r="S144" s="26"/>
      <c r="T144" s="14"/>
      <c r="U144" s="14"/>
      <c r="V144" s="14"/>
      <c r="W144" s="14"/>
      <c r="X144" s="14"/>
      <c r="Y144" s="14"/>
      <c r="Z144" s="25"/>
      <c r="AA144" s="34"/>
      <c r="AB144" s="37"/>
      <c r="AC144" s="36" t="str">
        <f t="shared" si="2"/>
        <v/>
      </c>
      <c r="AD144" s="9"/>
      <c r="AE144" s="9"/>
      <c r="AF144" s="9"/>
      <c r="AG144" s="9"/>
      <c r="AH144" s="9"/>
      <c r="AI144" s="26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</row>
    <row r="145" spans="4:114" x14ac:dyDescent="0.25">
      <c r="D145" s="14"/>
      <c r="E145" s="15"/>
      <c r="F145" s="14"/>
      <c r="G145" s="14"/>
      <c r="H145" s="14"/>
      <c r="I145" s="14"/>
      <c r="J145" s="14"/>
      <c r="K145" s="25"/>
      <c r="L145" s="34"/>
      <c r="M145" s="34"/>
      <c r="N145" s="9"/>
      <c r="O145" s="9"/>
      <c r="P145" s="9"/>
      <c r="Q145" s="9"/>
      <c r="R145" s="9"/>
      <c r="S145" s="26"/>
      <c r="T145" s="14"/>
      <c r="U145" s="14"/>
      <c r="V145" s="14"/>
      <c r="W145" s="14"/>
      <c r="X145" s="14"/>
      <c r="Y145" s="14"/>
      <c r="Z145" s="25"/>
      <c r="AA145" s="34"/>
      <c r="AB145" s="37"/>
      <c r="AC145" s="36" t="str">
        <f t="shared" si="2"/>
        <v/>
      </c>
      <c r="AD145" s="9"/>
      <c r="AE145" s="9"/>
      <c r="AF145" s="9"/>
      <c r="AG145" s="9"/>
      <c r="AH145" s="9"/>
      <c r="AI145" s="26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</row>
    <row r="146" spans="4:114" x14ac:dyDescent="0.25">
      <c r="D146" s="14"/>
      <c r="E146" s="15"/>
      <c r="F146" s="14"/>
      <c r="G146" s="14"/>
      <c r="H146" s="14"/>
      <c r="I146" s="14"/>
      <c r="J146" s="14"/>
      <c r="K146" s="25"/>
      <c r="L146" s="34"/>
      <c r="M146" s="34"/>
      <c r="N146" s="9"/>
      <c r="O146" s="9"/>
      <c r="P146" s="9"/>
      <c r="Q146" s="9"/>
      <c r="R146" s="9"/>
      <c r="S146" s="26"/>
      <c r="T146" s="14"/>
      <c r="U146" s="14"/>
      <c r="V146" s="14"/>
      <c r="W146" s="14"/>
      <c r="X146" s="14"/>
      <c r="Y146" s="14"/>
      <c r="Z146" s="25"/>
      <c r="AA146" s="34"/>
      <c r="AB146" s="37"/>
      <c r="AC146" s="36" t="str">
        <f t="shared" si="2"/>
        <v/>
      </c>
      <c r="AD146" s="9"/>
      <c r="AE146" s="9"/>
      <c r="AF146" s="9"/>
      <c r="AG146" s="9"/>
      <c r="AH146" s="9"/>
      <c r="AI146" s="26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</row>
    <row r="147" spans="4:114" x14ac:dyDescent="0.25">
      <c r="D147" s="14"/>
      <c r="E147" s="15"/>
      <c r="F147" s="14"/>
      <c r="G147" s="14"/>
      <c r="H147" s="14"/>
      <c r="I147" s="14"/>
      <c r="J147" s="14"/>
      <c r="K147" s="25"/>
      <c r="L147" s="34"/>
      <c r="M147" s="34"/>
      <c r="N147" s="9"/>
      <c r="O147" s="9"/>
      <c r="P147" s="9"/>
      <c r="Q147" s="9"/>
      <c r="R147" s="9"/>
      <c r="S147" s="26"/>
      <c r="T147" s="14"/>
      <c r="U147" s="14"/>
      <c r="V147" s="14"/>
      <c r="W147" s="14"/>
      <c r="X147" s="14"/>
      <c r="Y147" s="14"/>
      <c r="Z147" s="25"/>
      <c r="AA147" s="34"/>
      <c r="AB147" s="37"/>
      <c r="AC147" s="36" t="str">
        <f t="shared" si="2"/>
        <v/>
      </c>
      <c r="AD147" s="9"/>
      <c r="AE147" s="9"/>
      <c r="AF147" s="9"/>
      <c r="AG147" s="9"/>
      <c r="AH147" s="9"/>
      <c r="AI147" s="26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</row>
    <row r="148" spans="4:114" x14ac:dyDescent="0.25">
      <c r="D148" s="14"/>
      <c r="E148" s="15"/>
      <c r="F148" s="14"/>
      <c r="G148" s="14"/>
      <c r="H148" s="14"/>
      <c r="I148" s="14"/>
      <c r="J148" s="14"/>
      <c r="K148" s="25"/>
      <c r="L148" s="34"/>
      <c r="M148" s="34"/>
      <c r="N148" s="9"/>
      <c r="O148" s="9"/>
      <c r="P148" s="9"/>
      <c r="Q148" s="9"/>
      <c r="R148" s="9"/>
      <c r="S148" s="26"/>
      <c r="T148" s="14"/>
      <c r="U148" s="14"/>
      <c r="V148" s="14"/>
      <c r="W148" s="14"/>
      <c r="X148" s="14"/>
      <c r="Y148" s="14"/>
      <c r="Z148" s="25"/>
      <c r="AA148" s="34"/>
      <c r="AB148" s="37"/>
      <c r="AC148" s="36" t="str">
        <f t="shared" si="2"/>
        <v/>
      </c>
      <c r="AD148" s="9"/>
      <c r="AE148" s="9"/>
      <c r="AF148" s="9"/>
      <c r="AG148" s="9"/>
      <c r="AH148" s="9"/>
      <c r="AI148" s="26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</row>
    <row r="149" spans="4:114" x14ac:dyDescent="0.25">
      <c r="D149" s="14"/>
      <c r="E149" s="15"/>
      <c r="F149" s="14"/>
      <c r="G149" s="14"/>
      <c r="H149" s="14"/>
      <c r="I149" s="14"/>
      <c r="J149" s="14"/>
      <c r="K149" s="25"/>
      <c r="L149" s="34"/>
      <c r="M149" s="34"/>
      <c r="N149" s="9"/>
      <c r="O149" s="9"/>
      <c r="P149" s="9"/>
      <c r="Q149" s="9"/>
      <c r="R149" s="9"/>
      <c r="S149" s="26"/>
      <c r="T149" s="14"/>
      <c r="U149" s="14"/>
      <c r="V149" s="14"/>
      <c r="W149" s="14"/>
      <c r="X149" s="14"/>
      <c r="Y149" s="14"/>
      <c r="Z149" s="25"/>
      <c r="AA149" s="34"/>
      <c r="AB149" s="37"/>
      <c r="AC149" s="36" t="str">
        <f t="shared" si="2"/>
        <v/>
      </c>
      <c r="AD149" s="9"/>
      <c r="AE149" s="9"/>
      <c r="AF149" s="9"/>
      <c r="AG149" s="9"/>
      <c r="AH149" s="9"/>
      <c r="AI149" s="26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</row>
    <row r="150" spans="4:114" x14ac:dyDescent="0.25">
      <c r="D150" s="14"/>
      <c r="E150" s="15"/>
      <c r="F150" s="14"/>
      <c r="G150" s="14"/>
      <c r="H150" s="14"/>
      <c r="I150" s="14"/>
      <c r="J150" s="14"/>
      <c r="K150" s="25"/>
      <c r="L150" s="34"/>
      <c r="M150" s="34"/>
      <c r="N150" s="9"/>
      <c r="O150" s="9"/>
      <c r="P150" s="9"/>
      <c r="Q150" s="9"/>
      <c r="R150" s="9"/>
      <c r="S150" s="26"/>
      <c r="T150" s="14"/>
      <c r="U150" s="14"/>
      <c r="V150" s="14"/>
      <c r="W150" s="14"/>
      <c r="X150" s="14"/>
      <c r="Y150" s="14"/>
      <c r="Z150" s="25"/>
      <c r="AA150" s="34"/>
      <c r="AB150" s="37"/>
      <c r="AC150" s="36" t="str">
        <f t="shared" si="2"/>
        <v/>
      </c>
      <c r="AD150" s="9"/>
      <c r="AE150" s="9"/>
      <c r="AF150" s="9"/>
      <c r="AG150" s="9"/>
      <c r="AH150" s="9"/>
      <c r="AI150" s="26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</row>
    <row r="151" spans="4:114" x14ac:dyDescent="0.25">
      <c r="D151" s="14"/>
      <c r="E151" s="15"/>
      <c r="F151" s="14"/>
      <c r="G151" s="14"/>
      <c r="H151" s="14"/>
      <c r="I151" s="14"/>
      <c r="J151" s="14"/>
      <c r="K151" s="25"/>
      <c r="L151" s="34"/>
      <c r="M151" s="34"/>
      <c r="N151" s="9"/>
      <c r="O151" s="9"/>
      <c r="P151" s="9"/>
      <c r="Q151" s="9"/>
      <c r="R151" s="9"/>
      <c r="S151" s="26"/>
      <c r="T151" s="14"/>
      <c r="U151" s="14"/>
      <c r="V151" s="14"/>
      <c r="W151" s="14"/>
      <c r="X151" s="14"/>
      <c r="Y151" s="14"/>
      <c r="Z151" s="25"/>
      <c r="AA151" s="34"/>
      <c r="AB151" s="37"/>
      <c r="AC151" s="36" t="str">
        <f t="shared" si="2"/>
        <v/>
      </c>
      <c r="AD151" s="9"/>
      <c r="AE151" s="9"/>
      <c r="AF151" s="9"/>
      <c r="AG151" s="9"/>
      <c r="AH151" s="9"/>
      <c r="AI151" s="26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</row>
    <row r="152" spans="4:114" x14ac:dyDescent="0.25">
      <c r="D152" s="14"/>
      <c r="E152" s="15"/>
      <c r="F152" s="14"/>
      <c r="G152" s="14"/>
      <c r="H152" s="14"/>
      <c r="I152" s="14"/>
      <c r="J152" s="14"/>
      <c r="K152" s="25"/>
      <c r="L152" s="34"/>
      <c r="M152" s="34"/>
      <c r="N152" s="9"/>
      <c r="O152" s="9"/>
      <c r="P152" s="9"/>
      <c r="Q152" s="9"/>
      <c r="R152" s="9"/>
      <c r="S152" s="26"/>
      <c r="T152" s="14"/>
      <c r="U152" s="14"/>
      <c r="V152" s="14"/>
      <c r="W152" s="14"/>
      <c r="X152" s="14"/>
      <c r="Y152" s="14"/>
      <c r="Z152" s="25"/>
      <c r="AA152" s="34"/>
      <c r="AB152" s="37"/>
      <c r="AC152" s="36" t="str">
        <f t="shared" si="2"/>
        <v/>
      </c>
      <c r="AD152" s="9"/>
      <c r="AE152" s="9"/>
      <c r="AF152" s="9"/>
      <c r="AG152" s="9"/>
      <c r="AH152" s="9"/>
      <c r="AI152" s="26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</row>
    <row r="153" spans="4:114" x14ac:dyDescent="0.25">
      <c r="D153" s="14"/>
      <c r="E153" s="15"/>
      <c r="F153" s="14"/>
      <c r="G153" s="14"/>
      <c r="H153" s="14"/>
      <c r="I153" s="14"/>
      <c r="J153" s="14"/>
      <c r="K153" s="25"/>
      <c r="L153" s="34"/>
      <c r="M153" s="34"/>
      <c r="N153" s="9"/>
      <c r="O153" s="9"/>
      <c r="P153" s="9"/>
      <c r="Q153" s="9"/>
      <c r="R153" s="9"/>
      <c r="S153" s="26"/>
      <c r="T153" s="14"/>
      <c r="U153" s="14"/>
      <c r="V153" s="14"/>
      <c r="W153" s="14"/>
      <c r="X153" s="14"/>
      <c r="Y153" s="14"/>
      <c r="Z153" s="25"/>
      <c r="AA153" s="34"/>
      <c r="AB153" s="37"/>
      <c r="AC153" s="36" t="str">
        <f t="shared" si="2"/>
        <v/>
      </c>
      <c r="AD153" s="9"/>
      <c r="AE153" s="9"/>
      <c r="AF153" s="9"/>
      <c r="AG153" s="9"/>
      <c r="AH153" s="9"/>
      <c r="AI153" s="26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</row>
    <row r="154" spans="4:114" x14ac:dyDescent="0.25">
      <c r="D154" s="14"/>
      <c r="E154" s="15"/>
      <c r="F154" s="14"/>
      <c r="G154" s="14"/>
      <c r="H154" s="14"/>
      <c r="I154" s="14"/>
      <c r="J154" s="14"/>
      <c r="K154" s="25"/>
      <c r="L154" s="34"/>
      <c r="M154" s="34"/>
      <c r="N154" s="9"/>
      <c r="O154" s="9"/>
      <c r="P154" s="9"/>
      <c r="Q154" s="9"/>
      <c r="R154" s="9"/>
      <c r="S154" s="26"/>
      <c r="T154" s="14"/>
      <c r="U154" s="14"/>
      <c r="V154" s="14"/>
      <c r="W154" s="14"/>
      <c r="X154" s="14"/>
      <c r="Y154" s="14"/>
      <c r="Z154" s="25"/>
      <c r="AA154" s="34"/>
      <c r="AB154" s="37"/>
      <c r="AC154" s="36" t="str">
        <f t="shared" si="2"/>
        <v/>
      </c>
      <c r="AD154" s="9"/>
      <c r="AE154" s="9"/>
      <c r="AF154" s="9"/>
      <c r="AG154" s="9"/>
      <c r="AH154" s="9"/>
      <c r="AI154" s="26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</row>
    <row r="155" spans="4:114" x14ac:dyDescent="0.25">
      <c r="D155" s="14"/>
      <c r="E155" s="15"/>
      <c r="F155" s="14"/>
      <c r="G155" s="14"/>
      <c r="H155" s="14"/>
      <c r="I155" s="14"/>
      <c r="J155" s="14"/>
      <c r="K155" s="25"/>
      <c r="L155" s="34"/>
      <c r="M155" s="34"/>
      <c r="N155" s="9"/>
      <c r="O155" s="9"/>
      <c r="P155" s="9"/>
      <c r="Q155" s="9"/>
      <c r="R155" s="9"/>
      <c r="S155" s="26"/>
      <c r="T155" s="14"/>
      <c r="U155" s="14"/>
      <c r="V155" s="14"/>
      <c r="W155" s="14"/>
      <c r="X155" s="14"/>
      <c r="Y155" s="14"/>
      <c r="Z155" s="25"/>
      <c r="AA155" s="34"/>
      <c r="AB155" s="37"/>
      <c r="AC155" s="36" t="str">
        <f t="shared" si="2"/>
        <v/>
      </c>
      <c r="AD155" s="9"/>
      <c r="AE155" s="9"/>
      <c r="AF155" s="9"/>
      <c r="AG155" s="9"/>
      <c r="AH155" s="9"/>
      <c r="AI155" s="26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</row>
    <row r="156" spans="4:114" x14ac:dyDescent="0.25">
      <c r="D156" s="14"/>
      <c r="E156" s="15"/>
      <c r="F156" s="14"/>
      <c r="G156" s="14"/>
      <c r="H156" s="14"/>
      <c r="I156" s="14"/>
      <c r="J156" s="14"/>
      <c r="K156" s="25"/>
      <c r="L156" s="34"/>
      <c r="M156" s="34"/>
      <c r="N156" s="9"/>
      <c r="O156" s="9"/>
      <c r="P156" s="9"/>
      <c r="Q156" s="9"/>
      <c r="R156" s="9"/>
      <c r="S156" s="26"/>
      <c r="T156" s="14"/>
      <c r="U156" s="14"/>
      <c r="V156" s="14"/>
      <c r="W156" s="14"/>
      <c r="X156" s="14"/>
      <c r="Y156" s="14"/>
      <c r="Z156" s="25"/>
      <c r="AA156" s="34"/>
      <c r="AB156" s="37"/>
      <c r="AC156" s="36" t="str">
        <f t="shared" si="2"/>
        <v/>
      </c>
      <c r="AD156" s="9"/>
      <c r="AE156" s="9"/>
      <c r="AF156" s="9"/>
      <c r="AG156" s="9"/>
      <c r="AH156" s="9"/>
      <c r="AI156" s="26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</row>
    <row r="157" spans="4:114" x14ac:dyDescent="0.25">
      <c r="D157" s="14"/>
      <c r="E157" s="15"/>
      <c r="F157" s="14"/>
      <c r="G157" s="14"/>
      <c r="H157" s="14"/>
      <c r="I157" s="14"/>
      <c r="J157" s="14"/>
      <c r="K157" s="25"/>
      <c r="L157" s="34"/>
      <c r="M157" s="34"/>
      <c r="N157" s="9"/>
      <c r="O157" s="9"/>
      <c r="P157" s="9"/>
      <c r="Q157" s="9"/>
      <c r="R157" s="9"/>
      <c r="S157" s="26"/>
      <c r="T157" s="14"/>
      <c r="U157" s="14"/>
      <c r="V157" s="14"/>
      <c r="W157" s="14"/>
      <c r="X157" s="14"/>
      <c r="Y157" s="14"/>
      <c r="Z157" s="25"/>
      <c r="AA157" s="34"/>
      <c r="AB157" s="37"/>
      <c r="AC157" s="36" t="str">
        <f t="shared" si="2"/>
        <v/>
      </c>
      <c r="AD157" s="9"/>
      <c r="AE157" s="9"/>
      <c r="AF157" s="9"/>
      <c r="AG157" s="9"/>
      <c r="AH157" s="9"/>
      <c r="AI157" s="26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</row>
    <row r="158" spans="4:114" x14ac:dyDescent="0.25">
      <c r="D158" s="14"/>
      <c r="E158" s="15"/>
      <c r="F158" s="14"/>
      <c r="G158" s="14"/>
      <c r="H158" s="14"/>
      <c r="I158" s="14"/>
      <c r="J158" s="14"/>
      <c r="K158" s="25"/>
      <c r="L158" s="34"/>
      <c r="M158" s="34"/>
      <c r="N158" s="9"/>
      <c r="O158" s="9"/>
      <c r="P158" s="9"/>
      <c r="Q158" s="9"/>
      <c r="R158" s="9"/>
      <c r="S158" s="26"/>
      <c r="T158" s="14"/>
      <c r="U158" s="14"/>
      <c r="V158" s="14"/>
      <c r="W158" s="14"/>
      <c r="X158" s="14"/>
      <c r="Y158" s="14"/>
      <c r="Z158" s="25"/>
      <c r="AA158" s="34"/>
      <c r="AB158" s="37"/>
      <c r="AC158" s="36" t="str">
        <f t="shared" si="2"/>
        <v/>
      </c>
      <c r="AD158" s="9"/>
      <c r="AE158" s="9"/>
      <c r="AF158" s="9"/>
      <c r="AG158" s="9"/>
      <c r="AH158" s="9"/>
      <c r="AI158" s="26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</row>
    <row r="159" spans="4:114" x14ac:dyDescent="0.25">
      <c r="D159" s="14"/>
      <c r="E159" s="15"/>
      <c r="F159" s="14"/>
      <c r="G159" s="14"/>
      <c r="H159" s="14"/>
      <c r="I159" s="14"/>
      <c r="J159" s="14"/>
      <c r="K159" s="25"/>
      <c r="L159" s="34"/>
      <c r="M159" s="34"/>
      <c r="N159" s="9"/>
      <c r="O159" s="9"/>
      <c r="P159" s="9"/>
      <c r="Q159" s="9"/>
      <c r="R159" s="9"/>
      <c r="S159" s="26"/>
      <c r="T159" s="14"/>
      <c r="U159" s="14"/>
      <c r="V159" s="14"/>
      <c r="W159" s="14"/>
      <c r="X159" s="14"/>
      <c r="Y159" s="14"/>
      <c r="Z159" s="25"/>
      <c r="AA159" s="34"/>
      <c r="AB159" s="37"/>
      <c r="AC159" s="36" t="str">
        <f t="shared" si="2"/>
        <v/>
      </c>
      <c r="AD159" s="9"/>
      <c r="AE159" s="9"/>
      <c r="AF159" s="9"/>
      <c r="AG159" s="9"/>
      <c r="AH159" s="9"/>
      <c r="AI159" s="26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</row>
    <row r="160" spans="4:114" x14ac:dyDescent="0.25">
      <c r="D160" s="14"/>
      <c r="E160" s="15"/>
      <c r="F160" s="14"/>
      <c r="G160" s="14"/>
      <c r="H160" s="14"/>
      <c r="I160" s="14"/>
      <c r="J160" s="14"/>
      <c r="K160" s="25"/>
      <c r="L160" s="34"/>
      <c r="M160" s="34"/>
      <c r="N160" s="9"/>
      <c r="O160" s="9"/>
      <c r="P160" s="9"/>
      <c r="Q160" s="9"/>
      <c r="R160" s="9"/>
      <c r="S160" s="26"/>
      <c r="T160" s="14"/>
      <c r="U160" s="14"/>
      <c r="V160" s="14"/>
      <c r="W160" s="14"/>
      <c r="X160" s="14"/>
      <c r="Y160" s="14"/>
      <c r="Z160" s="25"/>
      <c r="AA160" s="34"/>
      <c r="AB160" s="37"/>
      <c r="AC160" s="36" t="str">
        <f t="shared" si="2"/>
        <v/>
      </c>
      <c r="AD160" s="9"/>
      <c r="AE160" s="9"/>
      <c r="AF160" s="9"/>
      <c r="AG160" s="9"/>
      <c r="AH160" s="9"/>
      <c r="AI160" s="26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</row>
    <row r="161" spans="4:114" x14ac:dyDescent="0.25">
      <c r="D161" s="14"/>
      <c r="E161" s="15"/>
      <c r="F161" s="14"/>
      <c r="G161" s="14"/>
      <c r="H161" s="14"/>
      <c r="I161" s="14"/>
      <c r="J161" s="14"/>
      <c r="K161" s="25"/>
      <c r="L161" s="34"/>
      <c r="M161" s="34"/>
      <c r="N161" s="9"/>
      <c r="O161" s="9"/>
      <c r="P161" s="9"/>
      <c r="Q161" s="9"/>
      <c r="R161" s="9"/>
      <c r="S161" s="26"/>
      <c r="T161" s="14"/>
      <c r="U161" s="14"/>
      <c r="V161" s="14"/>
      <c r="W161" s="14"/>
      <c r="X161" s="14"/>
      <c r="Y161" s="14"/>
      <c r="Z161" s="25"/>
      <c r="AA161" s="34"/>
      <c r="AB161" s="37"/>
      <c r="AC161" s="36" t="str">
        <f t="shared" si="2"/>
        <v/>
      </c>
      <c r="AD161" s="9"/>
      <c r="AE161" s="9"/>
      <c r="AF161" s="9"/>
      <c r="AG161" s="9"/>
      <c r="AH161" s="9"/>
      <c r="AI161" s="26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</row>
    <row r="162" spans="4:114" x14ac:dyDescent="0.25">
      <c r="D162" s="14"/>
      <c r="E162" s="15"/>
      <c r="F162" s="14"/>
      <c r="G162" s="14"/>
      <c r="H162" s="14"/>
      <c r="I162" s="14"/>
      <c r="J162" s="14"/>
      <c r="K162" s="25"/>
      <c r="L162" s="34"/>
      <c r="M162" s="34"/>
      <c r="N162" s="9"/>
      <c r="O162" s="9"/>
      <c r="P162" s="9"/>
      <c r="Q162" s="9"/>
      <c r="R162" s="9"/>
      <c r="S162" s="26"/>
      <c r="T162" s="14"/>
      <c r="U162" s="14"/>
      <c r="V162" s="14"/>
      <c r="W162" s="14"/>
      <c r="X162" s="14"/>
      <c r="Y162" s="14"/>
      <c r="Z162" s="25"/>
      <c r="AA162" s="34"/>
      <c r="AB162" s="37"/>
      <c r="AC162" s="36" t="str">
        <f t="shared" si="2"/>
        <v/>
      </c>
      <c r="AD162" s="9"/>
      <c r="AE162" s="9"/>
      <c r="AF162" s="9"/>
      <c r="AG162" s="9"/>
      <c r="AH162" s="9"/>
      <c r="AI162" s="26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</row>
    <row r="163" spans="4:114" x14ac:dyDescent="0.25">
      <c r="D163" s="14"/>
      <c r="E163" s="15"/>
      <c r="F163" s="14"/>
      <c r="G163" s="14"/>
      <c r="H163" s="14"/>
      <c r="I163" s="14"/>
      <c r="J163" s="14"/>
      <c r="K163" s="25"/>
      <c r="L163" s="34"/>
      <c r="M163" s="34"/>
      <c r="N163" s="9"/>
      <c r="O163" s="9"/>
      <c r="P163" s="9"/>
      <c r="Q163" s="9"/>
      <c r="R163" s="9"/>
      <c r="S163" s="26"/>
      <c r="T163" s="14"/>
      <c r="U163" s="14"/>
      <c r="V163" s="14"/>
      <c r="W163" s="14"/>
      <c r="X163" s="14"/>
      <c r="Y163" s="14"/>
      <c r="Z163" s="25"/>
      <c r="AA163" s="34"/>
      <c r="AB163" s="37"/>
      <c r="AC163" s="36" t="str">
        <f t="shared" si="2"/>
        <v/>
      </c>
      <c r="AD163" s="9"/>
      <c r="AE163" s="9"/>
      <c r="AF163" s="9"/>
      <c r="AG163" s="9"/>
      <c r="AH163" s="9"/>
      <c r="AI163" s="26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</row>
    <row r="164" spans="4:114" x14ac:dyDescent="0.25">
      <c r="D164" s="14"/>
      <c r="E164" s="15"/>
      <c r="F164" s="14"/>
      <c r="G164" s="14"/>
      <c r="H164" s="14"/>
      <c r="I164" s="14"/>
      <c r="J164" s="14"/>
      <c r="K164" s="25"/>
      <c r="L164" s="34"/>
      <c r="M164" s="34"/>
      <c r="N164" s="9"/>
      <c r="O164" s="9"/>
      <c r="P164" s="9"/>
      <c r="Q164" s="9"/>
      <c r="R164" s="9"/>
      <c r="S164" s="26"/>
      <c r="T164" s="14"/>
      <c r="U164" s="14"/>
      <c r="V164" s="14"/>
      <c r="W164" s="14"/>
      <c r="X164" s="14"/>
      <c r="Y164" s="14"/>
      <c r="Z164" s="25"/>
      <c r="AA164" s="34"/>
      <c r="AB164" s="37"/>
      <c r="AC164" s="36" t="str">
        <f t="shared" si="2"/>
        <v/>
      </c>
      <c r="AD164" s="9"/>
      <c r="AE164" s="9"/>
      <c r="AF164" s="9"/>
      <c r="AG164" s="9"/>
      <c r="AH164" s="9"/>
      <c r="AI164" s="26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</row>
    <row r="165" spans="4:114" x14ac:dyDescent="0.25">
      <c r="D165" s="14"/>
      <c r="E165" s="15"/>
      <c r="F165" s="14"/>
      <c r="G165" s="14"/>
      <c r="H165" s="14"/>
      <c r="I165" s="14"/>
      <c r="J165" s="14"/>
      <c r="K165" s="25"/>
      <c r="L165" s="34"/>
      <c r="M165" s="34"/>
      <c r="N165" s="9"/>
      <c r="O165" s="9"/>
      <c r="P165" s="9"/>
      <c r="Q165" s="9"/>
      <c r="R165" s="9"/>
      <c r="S165" s="26"/>
      <c r="T165" s="14"/>
      <c r="U165" s="14"/>
      <c r="V165" s="14"/>
      <c r="W165" s="14"/>
      <c r="X165" s="14"/>
      <c r="Y165" s="14"/>
      <c r="Z165" s="25"/>
      <c r="AA165" s="34"/>
      <c r="AB165" s="37"/>
      <c r="AC165" s="36" t="str">
        <f t="shared" si="2"/>
        <v/>
      </c>
      <c r="AD165" s="9"/>
      <c r="AE165" s="9"/>
      <c r="AF165" s="9"/>
      <c r="AG165" s="9"/>
      <c r="AH165" s="9"/>
      <c r="AI165" s="26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</row>
    <row r="166" spans="4:114" x14ac:dyDescent="0.25">
      <c r="D166" s="14"/>
      <c r="E166" s="15"/>
      <c r="F166" s="14"/>
      <c r="G166" s="14"/>
      <c r="H166" s="14"/>
      <c r="I166" s="14"/>
      <c r="J166" s="14"/>
      <c r="K166" s="25"/>
      <c r="L166" s="34"/>
      <c r="M166" s="34"/>
      <c r="N166" s="9"/>
      <c r="O166" s="9"/>
      <c r="P166" s="9"/>
      <c r="Q166" s="9"/>
      <c r="R166" s="9"/>
      <c r="S166" s="26"/>
      <c r="T166" s="14"/>
      <c r="U166" s="14"/>
      <c r="V166" s="14"/>
      <c r="W166" s="14"/>
      <c r="X166" s="14"/>
      <c r="Y166" s="14"/>
      <c r="Z166" s="25"/>
      <c r="AA166" s="34"/>
      <c r="AB166" s="37"/>
      <c r="AC166" s="36" t="str">
        <f t="shared" si="2"/>
        <v/>
      </c>
      <c r="AD166" s="9"/>
      <c r="AE166" s="9"/>
      <c r="AF166" s="9"/>
      <c r="AG166" s="9"/>
      <c r="AH166" s="9"/>
      <c r="AI166" s="26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</row>
    <row r="167" spans="4:114" x14ac:dyDescent="0.25">
      <c r="D167" s="14"/>
      <c r="E167" s="15"/>
      <c r="F167" s="14"/>
      <c r="G167" s="14"/>
      <c r="H167" s="14"/>
      <c r="I167" s="14"/>
      <c r="J167" s="14"/>
      <c r="K167" s="25"/>
      <c r="L167" s="34"/>
      <c r="M167" s="34"/>
      <c r="N167" s="9"/>
      <c r="O167" s="9"/>
      <c r="P167" s="9"/>
      <c r="Q167" s="9"/>
      <c r="R167" s="9"/>
      <c r="S167" s="26"/>
      <c r="T167" s="14"/>
      <c r="U167" s="14"/>
      <c r="V167" s="14"/>
      <c r="W167" s="14"/>
      <c r="X167" s="14"/>
      <c r="Y167" s="14"/>
      <c r="Z167" s="25"/>
      <c r="AA167" s="34"/>
      <c r="AB167" s="37"/>
      <c r="AC167" s="36" t="str">
        <f t="shared" si="2"/>
        <v/>
      </c>
      <c r="AD167" s="9"/>
      <c r="AE167" s="9"/>
      <c r="AF167" s="9"/>
      <c r="AG167" s="9"/>
      <c r="AH167" s="9"/>
      <c r="AI167" s="26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</row>
    <row r="168" spans="4:114" x14ac:dyDescent="0.25">
      <c r="D168" s="14"/>
      <c r="E168" s="15"/>
      <c r="F168" s="14"/>
      <c r="G168" s="14"/>
      <c r="H168" s="14"/>
      <c r="I168" s="14"/>
      <c r="J168" s="14"/>
      <c r="K168" s="25"/>
      <c r="L168" s="34"/>
      <c r="M168" s="34"/>
      <c r="N168" s="9"/>
      <c r="O168" s="9"/>
      <c r="P168" s="9"/>
      <c r="Q168" s="9"/>
      <c r="R168" s="9"/>
      <c r="S168" s="26"/>
      <c r="T168" s="14"/>
      <c r="U168" s="14"/>
      <c r="V168" s="14"/>
      <c r="W168" s="14"/>
      <c r="X168" s="14"/>
      <c r="Y168" s="14"/>
      <c r="Z168" s="25"/>
      <c r="AA168" s="34"/>
      <c r="AB168" s="37"/>
      <c r="AC168" s="36" t="str">
        <f t="shared" si="2"/>
        <v/>
      </c>
      <c r="AD168" s="9"/>
      <c r="AE168" s="9"/>
      <c r="AF168" s="9"/>
      <c r="AG168" s="9"/>
      <c r="AH168" s="9"/>
      <c r="AI168" s="26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</row>
    <row r="169" spans="4:114" x14ac:dyDescent="0.25">
      <c r="D169" s="14"/>
      <c r="E169" s="15"/>
      <c r="F169" s="14"/>
      <c r="G169" s="14"/>
      <c r="H169" s="14"/>
      <c r="I169" s="14"/>
      <c r="J169" s="14"/>
      <c r="K169" s="25"/>
      <c r="L169" s="34"/>
      <c r="M169" s="34"/>
      <c r="N169" s="9"/>
      <c r="O169" s="9"/>
      <c r="P169" s="9"/>
      <c r="Q169" s="9"/>
      <c r="R169" s="9"/>
      <c r="S169" s="26"/>
      <c r="T169" s="14"/>
      <c r="U169" s="14"/>
      <c r="V169" s="14"/>
      <c r="W169" s="14"/>
      <c r="X169" s="14"/>
      <c r="Y169" s="14"/>
      <c r="Z169" s="25"/>
      <c r="AA169" s="34"/>
      <c r="AB169" s="37"/>
      <c r="AC169" s="36" t="str">
        <f t="shared" si="2"/>
        <v/>
      </c>
      <c r="AD169" s="9"/>
      <c r="AE169" s="9"/>
      <c r="AF169" s="9"/>
      <c r="AG169" s="9"/>
      <c r="AH169" s="9"/>
      <c r="AI169" s="26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</row>
    <row r="170" spans="4:114" x14ac:dyDescent="0.25">
      <c r="D170" s="14"/>
      <c r="E170" s="15"/>
      <c r="F170" s="14"/>
      <c r="G170" s="14"/>
      <c r="H170" s="14"/>
      <c r="I170" s="14"/>
      <c r="J170" s="14"/>
      <c r="K170" s="25"/>
      <c r="L170" s="34"/>
      <c r="M170" s="34"/>
      <c r="N170" s="9"/>
      <c r="O170" s="9"/>
      <c r="P170" s="9"/>
      <c r="Q170" s="9"/>
      <c r="R170" s="9"/>
      <c r="S170" s="26"/>
      <c r="T170" s="14"/>
      <c r="U170" s="14"/>
      <c r="V170" s="14"/>
      <c r="W170" s="14"/>
      <c r="X170" s="14"/>
      <c r="Y170" s="14"/>
      <c r="Z170" s="25"/>
      <c r="AA170" s="34"/>
      <c r="AB170" s="37"/>
      <c r="AC170" s="36" t="str">
        <f t="shared" si="2"/>
        <v/>
      </c>
      <c r="AD170" s="9"/>
      <c r="AE170" s="9"/>
      <c r="AF170" s="9"/>
      <c r="AG170" s="9"/>
      <c r="AH170" s="9"/>
      <c r="AI170" s="26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</row>
    <row r="171" spans="4:114" x14ac:dyDescent="0.25">
      <c r="D171" s="14"/>
      <c r="E171" s="15"/>
      <c r="F171" s="14"/>
      <c r="G171" s="14"/>
      <c r="H171" s="14"/>
      <c r="I171" s="14"/>
      <c r="J171" s="14"/>
      <c r="K171" s="25"/>
      <c r="L171" s="34"/>
      <c r="M171" s="34"/>
      <c r="N171" s="9"/>
      <c r="O171" s="9"/>
      <c r="P171" s="9"/>
      <c r="Q171" s="9"/>
      <c r="R171" s="9"/>
      <c r="S171" s="26"/>
      <c r="T171" s="14"/>
      <c r="U171" s="14"/>
      <c r="V171" s="14"/>
      <c r="W171" s="14"/>
      <c r="X171" s="14"/>
      <c r="Y171" s="14"/>
      <c r="Z171" s="25"/>
      <c r="AA171" s="34"/>
      <c r="AB171" s="37"/>
      <c r="AC171" s="36" t="str">
        <f t="shared" si="2"/>
        <v/>
      </c>
      <c r="AD171" s="9"/>
      <c r="AE171" s="9"/>
      <c r="AF171" s="9"/>
      <c r="AG171" s="9"/>
      <c r="AH171" s="9"/>
      <c r="AI171" s="26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</row>
    <row r="172" spans="4:114" x14ac:dyDescent="0.25">
      <c r="D172" s="14"/>
      <c r="E172" s="15"/>
      <c r="F172" s="14"/>
      <c r="G172" s="14"/>
      <c r="H172" s="14"/>
      <c r="I172" s="14"/>
      <c r="J172" s="14"/>
      <c r="K172" s="25"/>
      <c r="L172" s="34"/>
      <c r="M172" s="34"/>
      <c r="N172" s="9"/>
      <c r="O172" s="9"/>
      <c r="P172" s="9"/>
      <c r="Q172" s="9"/>
      <c r="R172" s="9"/>
      <c r="S172" s="26"/>
      <c r="T172" s="14"/>
      <c r="U172" s="14"/>
      <c r="V172" s="14"/>
      <c r="W172" s="14"/>
      <c r="X172" s="14"/>
      <c r="Y172" s="14"/>
      <c r="Z172" s="25"/>
      <c r="AA172" s="34"/>
      <c r="AB172" s="37"/>
      <c r="AC172" s="36" t="str">
        <f t="shared" si="2"/>
        <v/>
      </c>
      <c r="AD172" s="9"/>
      <c r="AE172" s="9"/>
      <c r="AF172" s="9"/>
      <c r="AG172" s="9"/>
      <c r="AH172" s="9"/>
      <c r="AI172" s="26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</row>
    <row r="173" spans="4:114" x14ac:dyDescent="0.25">
      <c r="D173" s="14"/>
      <c r="E173" s="15"/>
      <c r="F173" s="14"/>
      <c r="G173" s="14"/>
      <c r="H173" s="14"/>
      <c r="I173" s="14"/>
      <c r="J173" s="14"/>
      <c r="K173" s="25"/>
      <c r="L173" s="34"/>
      <c r="M173" s="34"/>
      <c r="N173" s="9"/>
      <c r="O173" s="9"/>
      <c r="P173" s="9"/>
      <c r="Q173" s="9"/>
      <c r="R173" s="9"/>
      <c r="S173" s="26"/>
      <c r="T173" s="14"/>
      <c r="U173" s="14"/>
      <c r="V173" s="14"/>
      <c r="W173" s="14"/>
      <c r="X173" s="14"/>
      <c r="Y173" s="14"/>
      <c r="Z173" s="25"/>
      <c r="AA173" s="34"/>
      <c r="AB173" s="37"/>
      <c r="AC173" s="36" t="str">
        <f t="shared" si="2"/>
        <v/>
      </c>
      <c r="AD173" s="9"/>
      <c r="AE173" s="9"/>
      <c r="AF173" s="9"/>
      <c r="AG173" s="9"/>
      <c r="AH173" s="9"/>
      <c r="AI173" s="26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</row>
    <row r="174" spans="4:114" x14ac:dyDescent="0.25">
      <c r="D174" s="14"/>
      <c r="E174" s="15"/>
      <c r="F174" s="14"/>
      <c r="G174" s="14"/>
      <c r="H174" s="14"/>
      <c r="I174" s="14"/>
      <c r="J174" s="14"/>
      <c r="K174" s="25"/>
      <c r="L174" s="34"/>
      <c r="M174" s="34"/>
      <c r="N174" s="9"/>
      <c r="O174" s="9"/>
      <c r="P174" s="9"/>
      <c r="Q174" s="9"/>
      <c r="R174" s="9"/>
      <c r="S174" s="26"/>
      <c r="T174" s="14"/>
      <c r="U174" s="14"/>
      <c r="V174" s="14"/>
      <c r="W174" s="14"/>
      <c r="X174" s="14"/>
      <c r="Y174" s="14"/>
      <c r="Z174" s="25"/>
      <c r="AA174" s="34"/>
      <c r="AB174" s="37"/>
      <c r="AC174" s="36" t="str">
        <f t="shared" si="2"/>
        <v/>
      </c>
      <c r="AD174" s="9"/>
      <c r="AE174" s="9"/>
      <c r="AF174" s="9"/>
      <c r="AG174" s="9"/>
      <c r="AH174" s="9"/>
      <c r="AI174" s="26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</row>
    <row r="175" spans="4:114" x14ac:dyDescent="0.25">
      <c r="D175" s="14"/>
      <c r="E175" s="15"/>
      <c r="F175" s="14"/>
      <c r="G175" s="14"/>
      <c r="H175" s="14"/>
      <c r="I175" s="14"/>
      <c r="J175" s="14"/>
      <c r="K175" s="25"/>
      <c r="L175" s="34"/>
      <c r="M175" s="34"/>
      <c r="N175" s="9"/>
      <c r="O175" s="9"/>
      <c r="P175" s="9"/>
      <c r="Q175" s="9"/>
      <c r="R175" s="9"/>
      <c r="S175" s="26"/>
      <c r="T175" s="14"/>
      <c r="U175" s="14"/>
      <c r="V175" s="14"/>
      <c r="W175" s="14"/>
      <c r="X175" s="14"/>
      <c r="Y175" s="14"/>
      <c r="Z175" s="25"/>
      <c r="AA175" s="34"/>
      <c r="AB175" s="37"/>
      <c r="AC175" s="36" t="str">
        <f t="shared" si="2"/>
        <v/>
      </c>
      <c r="AD175" s="9"/>
      <c r="AE175" s="9"/>
      <c r="AF175" s="9"/>
      <c r="AG175" s="9"/>
      <c r="AH175" s="9"/>
      <c r="AI175" s="26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</row>
    <row r="176" spans="4:114" x14ac:dyDescent="0.25">
      <c r="D176" s="14"/>
      <c r="E176" s="15"/>
      <c r="F176" s="14"/>
      <c r="G176" s="14"/>
      <c r="H176" s="14"/>
      <c r="I176" s="14"/>
      <c r="J176" s="14"/>
      <c r="K176" s="25"/>
      <c r="L176" s="34"/>
      <c r="M176" s="34"/>
      <c r="N176" s="9"/>
      <c r="O176" s="9"/>
      <c r="P176" s="9"/>
      <c r="Q176" s="9"/>
      <c r="R176" s="9"/>
      <c r="S176" s="26"/>
      <c r="T176" s="14"/>
      <c r="U176" s="14"/>
      <c r="V176" s="14"/>
      <c r="W176" s="14"/>
      <c r="X176" s="14"/>
      <c r="Y176" s="14"/>
      <c r="Z176" s="25"/>
      <c r="AA176" s="34"/>
      <c r="AB176" s="37"/>
      <c r="AC176" s="36" t="str">
        <f t="shared" si="2"/>
        <v/>
      </c>
      <c r="AD176" s="9"/>
      <c r="AE176" s="9"/>
      <c r="AF176" s="9"/>
      <c r="AG176" s="9"/>
      <c r="AH176" s="9"/>
      <c r="AI176" s="26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</row>
    <row r="177" spans="4:114" x14ac:dyDescent="0.25">
      <c r="D177" s="14"/>
      <c r="E177" s="15"/>
      <c r="F177" s="14"/>
      <c r="G177" s="14"/>
      <c r="H177" s="14"/>
      <c r="I177" s="14"/>
      <c r="J177" s="14"/>
      <c r="K177" s="25"/>
      <c r="L177" s="34"/>
      <c r="M177" s="34"/>
      <c r="N177" s="9"/>
      <c r="O177" s="9"/>
      <c r="P177" s="9"/>
      <c r="Q177" s="9"/>
      <c r="R177" s="9"/>
      <c r="S177" s="26"/>
      <c r="T177" s="14"/>
      <c r="U177" s="14"/>
      <c r="V177" s="14"/>
      <c r="W177" s="14"/>
      <c r="X177" s="14"/>
      <c r="Y177" s="14"/>
      <c r="Z177" s="25"/>
      <c r="AA177" s="34"/>
      <c r="AB177" s="37"/>
      <c r="AC177" s="36" t="str">
        <f t="shared" si="2"/>
        <v/>
      </c>
      <c r="AD177" s="9"/>
      <c r="AE177" s="9"/>
      <c r="AF177" s="9"/>
      <c r="AG177" s="9"/>
      <c r="AH177" s="9"/>
      <c r="AI177" s="26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</row>
    <row r="178" spans="4:114" x14ac:dyDescent="0.25">
      <c r="D178" s="14"/>
      <c r="E178" s="15"/>
      <c r="F178" s="14"/>
      <c r="G178" s="14"/>
      <c r="H178" s="14"/>
      <c r="I178" s="14"/>
      <c r="J178" s="14"/>
      <c r="K178" s="25"/>
      <c r="L178" s="34"/>
      <c r="M178" s="34"/>
      <c r="N178" s="9"/>
      <c r="O178" s="9"/>
      <c r="P178" s="9"/>
      <c r="Q178" s="9"/>
      <c r="R178" s="9"/>
      <c r="S178" s="26"/>
      <c r="T178" s="14"/>
      <c r="U178" s="14"/>
      <c r="V178" s="14"/>
      <c r="W178" s="14"/>
      <c r="X178" s="14"/>
      <c r="Y178" s="14"/>
      <c r="Z178" s="25"/>
      <c r="AA178" s="34"/>
      <c r="AB178" s="37"/>
      <c r="AC178" s="36" t="str">
        <f t="shared" si="2"/>
        <v/>
      </c>
      <c r="AD178" s="9"/>
      <c r="AE178" s="9"/>
      <c r="AF178" s="9"/>
      <c r="AG178" s="9"/>
      <c r="AH178" s="9"/>
      <c r="AI178" s="26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</row>
    <row r="179" spans="4:114" x14ac:dyDescent="0.25">
      <c r="D179" s="14"/>
      <c r="E179" s="15"/>
      <c r="F179" s="14"/>
      <c r="G179" s="14"/>
      <c r="H179" s="14"/>
      <c r="I179" s="14"/>
      <c r="J179" s="14"/>
      <c r="K179" s="25"/>
      <c r="L179" s="34"/>
      <c r="M179" s="34"/>
      <c r="N179" s="9"/>
      <c r="O179" s="9"/>
      <c r="P179" s="9"/>
      <c r="Q179" s="9"/>
      <c r="R179" s="9"/>
      <c r="S179" s="26"/>
      <c r="T179" s="14"/>
      <c r="U179" s="14"/>
      <c r="V179" s="14"/>
      <c r="W179" s="14"/>
      <c r="X179" s="14"/>
      <c r="Y179" s="14"/>
      <c r="Z179" s="25"/>
      <c r="AA179" s="34"/>
      <c r="AB179" s="37"/>
      <c r="AC179" s="36" t="str">
        <f t="shared" si="2"/>
        <v/>
      </c>
      <c r="AD179" s="9"/>
      <c r="AE179" s="9"/>
      <c r="AF179" s="9"/>
      <c r="AG179" s="9"/>
      <c r="AH179" s="9"/>
      <c r="AI179" s="26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</row>
    <row r="180" spans="4:114" x14ac:dyDescent="0.25">
      <c r="D180" s="14"/>
      <c r="E180" s="15"/>
      <c r="F180" s="14"/>
      <c r="G180" s="14"/>
      <c r="H180" s="14"/>
      <c r="I180" s="14"/>
      <c r="J180" s="14"/>
      <c r="K180" s="25"/>
      <c r="L180" s="34"/>
      <c r="M180" s="34"/>
      <c r="N180" s="9"/>
      <c r="O180" s="9"/>
      <c r="P180" s="9"/>
      <c r="Q180" s="9"/>
      <c r="R180" s="9"/>
      <c r="S180" s="26"/>
      <c r="T180" s="14"/>
      <c r="U180" s="14"/>
      <c r="V180" s="14"/>
      <c r="W180" s="14"/>
      <c r="X180" s="14"/>
      <c r="Y180" s="14"/>
      <c r="Z180" s="25"/>
      <c r="AA180" s="34"/>
      <c r="AB180" s="37"/>
      <c r="AC180" s="36" t="str">
        <f t="shared" si="2"/>
        <v/>
      </c>
      <c r="AD180" s="9"/>
      <c r="AE180" s="9"/>
      <c r="AF180" s="9"/>
      <c r="AG180" s="9"/>
      <c r="AH180" s="9"/>
      <c r="AI180" s="26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</row>
    <row r="181" spans="4:114" x14ac:dyDescent="0.25">
      <c r="D181" s="14"/>
      <c r="E181" s="15"/>
      <c r="F181" s="14"/>
      <c r="G181" s="14"/>
      <c r="H181" s="14"/>
      <c r="I181" s="14"/>
      <c r="J181" s="14"/>
      <c r="K181" s="25"/>
      <c r="L181" s="34"/>
      <c r="M181" s="34"/>
      <c r="N181" s="9"/>
      <c r="O181" s="9"/>
      <c r="P181" s="9"/>
      <c r="Q181" s="9"/>
      <c r="R181" s="9"/>
      <c r="S181" s="26"/>
      <c r="T181" s="14"/>
      <c r="U181" s="14"/>
      <c r="V181" s="14"/>
      <c r="W181" s="14"/>
      <c r="X181" s="14"/>
      <c r="Y181" s="14"/>
      <c r="Z181" s="25"/>
      <c r="AA181" s="34"/>
      <c r="AB181" s="37"/>
      <c r="AC181" s="36" t="str">
        <f t="shared" si="2"/>
        <v/>
      </c>
      <c r="AD181" s="9"/>
      <c r="AE181" s="9"/>
      <c r="AF181" s="9"/>
      <c r="AG181" s="9"/>
      <c r="AH181" s="9"/>
      <c r="AI181" s="26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</row>
    <row r="182" spans="4:114" x14ac:dyDescent="0.25">
      <c r="D182" s="14"/>
      <c r="E182" s="15"/>
      <c r="F182" s="14"/>
      <c r="G182" s="14"/>
      <c r="H182" s="14"/>
      <c r="I182" s="14"/>
      <c r="J182" s="14"/>
      <c r="K182" s="25"/>
      <c r="L182" s="34"/>
      <c r="M182" s="34"/>
      <c r="N182" s="9"/>
      <c r="O182" s="9"/>
      <c r="P182" s="9"/>
      <c r="Q182" s="9"/>
      <c r="R182" s="9"/>
      <c r="S182" s="26"/>
      <c r="T182" s="14"/>
      <c r="U182" s="14"/>
      <c r="V182" s="14"/>
      <c r="W182" s="14"/>
      <c r="X182" s="14"/>
      <c r="Y182" s="14"/>
      <c r="Z182" s="25"/>
      <c r="AA182" s="34"/>
      <c r="AB182" s="37"/>
      <c r="AC182" s="36" t="str">
        <f t="shared" si="2"/>
        <v/>
      </c>
      <c r="AD182" s="9"/>
      <c r="AE182" s="9"/>
      <c r="AF182" s="9"/>
      <c r="AG182" s="9"/>
      <c r="AH182" s="9"/>
      <c r="AI182" s="26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</row>
    <row r="183" spans="4:114" x14ac:dyDescent="0.25">
      <c r="D183" s="14"/>
      <c r="E183" s="15"/>
      <c r="F183" s="14"/>
      <c r="G183" s="14"/>
      <c r="H183" s="14"/>
      <c r="I183" s="14"/>
      <c r="J183" s="14"/>
      <c r="K183" s="25"/>
      <c r="L183" s="34"/>
      <c r="M183" s="34"/>
      <c r="N183" s="9"/>
      <c r="O183" s="9"/>
      <c r="P183" s="9"/>
      <c r="Q183" s="9"/>
      <c r="R183" s="9"/>
      <c r="S183" s="26"/>
      <c r="T183" s="14"/>
      <c r="U183" s="14"/>
      <c r="V183" s="14"/>
      <c r="W183" s="14"/>
      <c r="X183" s="14"/>
      <c r="Y183" s="14"/>
      <c r="Z183" s="25"/>
      <c r="AA183" s="34"/>
      <c r="AB183" s="37"/>
      <c r="AC183" s="36" t="str">
        <f t="shared" si="2"/>
        <v/>
      </c>
      <c r="AD183" s="9"/>
      <c r="AE183" s="9"/>
      <c r="AF183" s="9"/>
      <c r="AG183" s="9"/>
      <c r="AH183" s="9"/>
      <c r="AI183" s="26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</row>
    <row r="184" spans="4:114" x14ac:dyDescent="0.25">
      <c r="D184" s="14"/>
      <c r="E184" s="15"/>
      <c r="F184" s="14"/>
      <c r="G184" s="14"/>
      <c r="H184" s="14"/>
      <c r="I184" s="14"/>
      <c r="J184" s="14"/>
      <c r="K184" s="25"/>
      <c r="L184" s="34"/>
      <c r="M184" s="34"/>
      <c r="N184" s="9"/>
      <c r="O184" s="9"/>
      <c r="P184" s="9"/>
      <c r="Q184" s="9"/>
      <c r="R184" s="9"/>
      <c r="S184" s="26"/>
      <c r="T184" s="14"/>
      <c r="U184" s="14"/>
      <c r="V184" s="14"/>
      <c r="W184" s="14"/>
      <c r="X184" s="14"/>
      <c r="Y184" s="14"/>
      <c r="Z184" s="25"/>
      <c r="AA184" s="34"/>
      <c r="AB184" s="37"/>
      <c r="AC184" s="36" t="str">
        <f t="shared" si="2"/>
        <v/>
      </c>
      <c r="AD184" s="9"/>
      <c r="AE184" s="9"/>
      <c r="AF184" s="9"/>
      <c r="AG184" s="9"/>
      <c r="AH184" s="9"/>
      <c r="AI184" s="26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</row>
    <row r="185" spans="4:114" x14ac:dyDescent="0.25">
      <c r="D185" s="14"/>
      <c r="E185" s="15"/>
      <c r="F185" s="14"/>
      <c r="G185" s="14"/>
      <c r="H185" s="14"/>
      <c r="I185" s="14"/>
      <c r="J185" s="14"/>
      <c r="K185" s="25"/>
      <c r="L185" s="34"/>
      <c r="M185" s="34"/>
      <c r="N185" s="9"/>
      <c r="O185" s="9"/>
      <c r="P185" s="9"/>
      <c r="Q185" s="9"/>
      <c r="R185" s="9"/>
      <c r="S185" s="26"/>
      <c r="T185" s="14"/>
      <c r="U185" s="14"/>
      <c r="V185" s="14"/>
      <c r="W185" s="14"/>
      <c r="X185" s="14"/>
      <c r="Y185" s="14"/>
      <c r="Z185" s="25"/>
      <c r="AA185" s="34"/>
      <c r="AB185" s="37"/>
      <c r="AC185" s="36" t="str">
        <f t="shared" si="2"/>
        <v/>
      </c>
      <c r="AD185" s="9"/>
      <c r="AE185" s="9"/>
      <c r="AF185" s="9"/>
      <c r="AG185" s="9"/>
      <c r="AH185" s="9"/>
      <c r="AI185" s="26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</row>
    <row r="186" spans="4:114" x14ac:dyDescent="0.25">
      <c r="D186" s="14"/>
      <c r="E186" s="15"/>
      <c r="F186" s="14"/>
      <c r="G186" s="14"/>
      <c r="H186" s="14"/>
      <c r="I186" s="14"/>
      <c r="J186" s="14"/>
      <c r="K186" s="25"/>
      <c r="L186" s="34"/>
      <c r="M186" s="34"/>
      <c r="N186" s="9"/>
      <c r="O186" s="9"/>
      <c r="P186" s="9"/>
      <c r="Q186" s="9"/>
      <c r="R186" s="9"/>
      <c r="S186" s="26"/>
      <c r="T186" s="14"/>
      <c r="U186" s="14"/>
      <c r="V186" s="14"/>
      <c r="W186" s="14"/>
      <c r="X186" s="14"/>
      <c r="Y186" s="14"/>
      <c r="Z186" s="25"/>
      <c r="AA186" s="34"/>
      <c r="AB186" s="37"/>
      <c r="AC186" s="36" t="str">
        <f t="shared" si="2"/>
        <v/>
      </c>
      <c r="AD186" s="9"/>
      <c r="AE186" s="9"/>
      <c r="AF186" s="9"/>
      <c r="AG186" s="9"/>
      <c r="AH186" s="9"/>
      <c r="AI186" s="26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</row>
    <row r="187" spans="4:114" x14ac:dyDescent="0.25">
      <c r="D187" s="14"/>
      <c r="E187" s="15"/>
      <c r="F187" s="14"/>
      <c r="G187" s="14"/>
      <c r="H187" s="14"/>
      <c r="I187" s="14"/>
      <c r="J187" s="14"/>
      <c r="K187" s="25"/>
      <c r="L187" s="34"/>
      <c r="M187" s="34"/>
      <c r="N187" s="9"/>
      <c r="O187" s="9"/>
      <c r="P187" s="9"/>
      <c r="Q187" s="9"/>
      <c r="R187" s="9"/>
      <c r="S187" s="26"/>
      <c r="T187" s="14"/>
      <c r="U187" s="14"/>
      <c r="V187" s="14"/>
      <c r="W187" s="14"/>
      <c r="X187" s="14"/>
      <c r="Y187" s="14"/>
      <c r="Z187" s="25"/>
      <c r="AA187" s="34"/>
      <c r="AB187" s="37"/>
      <c r="AC187" s="36" t="str">
        <f t="shared" si="2"/>
        <v/>
      </c>
      <c r="AD187" s="9"/>
      <c r="AE187" s="9"/>
      <c r="AF187" s="9"/>
      <c r="AG187" s="9"/>
      <c r="AH187" s="9"/>
      <c r="AI187" s="26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</row>
    <row r="188" spans="4:114" x14ac:dyDescent="0.25">
      <c r="D188" s="14"/>
      <c r="E188" s="15"/>
      <c r="F188" s="14"/>
      <c r="G188" s="14"/>
      <c r="H188" s="14"/>
      <c r="I188" s="14"/>
      <c r="J188" s="14"/>
      <c r="K188" s="25"/>
      <c r="L188" s="34"/>
      <c r="M188" s="34"/>
      <c r="N188" s="9"/>
      <c r="O188" s="9"/>
      <c r="P188" s="9"/>
      <c r="Q188" s="9"/>
      <c r="R188" s="9"/>
      <c r="S188" s="26"/>
      <c r="T188" s="14"/>
      <c r="U188" s="14"/>
      <c r="V188" s="14"/>
      <c r="W188" s="14"/>
      <c r="X188" s="14"/>
      <c r="Y188" s="14"/>
      <c r="Z188" s="25"/>
      <c r="AA188" s="34"/>
      <c r="AB188" s="37"/>
      <c r="AC188" s="36" t="str">
        <f t="shared" si="2"/>
        <v/>
      </c>
      <c r="AD188" s="9"/>
      <c r="AE188" s="9"/>
      <c r="AF188" s="9"/>
      <c r="AG188" s="9"/>
      <c r="AH188" s="9"/>
      <c r="AI188" s="26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</row>
    <row r="189" spans="4:114" x14ac:dyDescent="0.25">
      <c r="D189" s="14"/>
      <c r="E189" s="15"/>
      <c r="F189" s="14"/>
      <c r="G189" s="14"/>
      <c r="H189" s="14"/>
      <c r="I189" s="14"/>
      <c r="J189" s="14"/>
      <c r="K189" s="25"/>
      <c r="L189" s="34"/>
      <c r="M189" s="34"/>
      <c r="N189" s="9"/>
      <c r="O189" s="9"/>
      <c r="P189" s="9"/>
      <c r="Q189" s="9"/>
      <c r="R189" s="9"/>
      <c r="S189" s="26"/>
      <c r="T189" s="14"/>
      <c r="U189" s="14"/>
      <c r="V189" s="14"/>
      <c r="W189" s="14"/>
      <c r="X189" s="14"/>
      <c r="Y189" s="14"/>
      <c r="Z189" s="25"/>
      <c r="AA189" s="34"/>
      <c r="AB189" s="37"/>
      <c r="AC189" s="36" t="str">
        <f t="shared" si="2"/>
        <v/>
      </c>
      <c r="AD189" s="9"/>
      <c r="AE189" s="9"/>
      <c r="AF189" s="9"/>
      <c r="AG189" s="9"/>
      <c r="AH189" s="9"/>
      <c r="AI189" s="26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</row>
    <row r="190" spans="4:114" x14ac:dyDescent="0.25">
      <c r="D190" s="14"/>
      <c r="E190" s="15"/>
      <c r="F190" s="14"/>
      <c r="G190" s="14"/>
      <c r="H190" s="14"/>
      <c r="I190" s="14"/>
      <c r="J190" s="14"/>
      <c r="K190" s="25"/>
      <c r="L190" s="34"/>
      <c r="M190" s="34"/>
      <c r="N190" s="9"/>
      <c r="O190" s="9"/>
      <c r="P190" s="9"/>
      <c r="Q190" s="9"/>
      <c r="R190" s="9"/>
      <c r="S190" s="26"/>
      <c r="T190" s="14"/>
      <c r="U190" s="14"/>
      <c r="V190" s="14"/>
      <c r="W190" s="14"/>
      <c r="X190" s="14"/>
      <c r="Y190" s="14"/>
      <c r="Z190" s="25"/>
      <c r="AA190" s="34"/>
      <c r="AB190" s="37"/>
      <c r="AC190" s="36" t="str">
        <f t="shared" si="2"/>
        <v/>
      </c>
      <c r="AD190" s="9"/>
      <c r="AE190" s="9"/>
      <c r="AF190" s="9"/>
      <c r="AG190" s="9"/>
      <c r="AH190" s="9"/>
      <c r="AI190" s="26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</row>
    <row r="191" spans="4:114" x14ac:dyDescent="0.25">
      <c r="D191" s="14"/>
      <c r="E191" s="15"/>
      <c r="F191" s="14"/>
      <c r="G191" s="14"/>
      <c r="H191" s="14"/>
      <c r="I191" s="14"/>
      <c r="J191" s="14"/>
      <c r="K191" s="25"/>
      <c r="L191" s="34"/>
      <c r="M191" s="34"/>
      <c r="N191" s="9"/>
      <c r="O191" s="9"/>
      <c r="P191" s="9"/>
      <c r="Q191" s="9"/>
      <c r="R191" s="9"/>
      <c r="S191" s="26"/>
      <c r="T191" s="14"/>
      <c r="U191" s="14"/>
      <c r="V191" s="14"/>
      <c r="W191" s="14"/>
      <c r="X191" s="14"/>
      <c r="Y191" s="14"/>
      <c r="Z191" s="25"/>
      <c r="AA191" s="34"/>
      <c r="AB191" s="37"/>
      <c r="AC191" s="36" t="str">
        <f t="shared" si="2"/>
        <v/>
      </c>
      <c r="AD191" s="9"/>
      <c r="AE191" s="9"/>
      <c r="AF191" s="9"/>
      <c r="AG191" s="9"/>
      <c r="AH191" s="9"/>
      <c r="AI191" s="26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</row>
    <row r="192" spans="4:114" x14ac:dyDescent="0.25">
      <c r="D192" s="14"/>
      <c r="E192" s="15"/>
      <c r="F192" s="14"/>
      <c r="G192" s="14"/>
      <c r="H192" s="14"/>
      <c r="I192" s="14"/>
      <c r="J192" s="14"/>
      <c r="K192" s="25"/>
      <c r="L192" s="34"/>
      <c r="M192" s="34"/>
      <c r="N192" s="9"/>
      <c r="O192" s="9"/>
      <c r="P192" s="9"/>
      <c r="Q192" s="9"/>
      <c r="R192" s="9"/>
      <c r="S192" s="26"/>
      <c r="T192" s="14"/>
      <c r="U192" s="14"/>
      <c r="V192" s="14"/>
      <c r="W192" s="14"/>
      <c r="X192" s="14"/>
      <c r="Y192" s="14"/>
      <c r="Z192" s="25"/>
      <c r="AA192" s="34"/>
      <c r="AB192" s="37"/>
      <c r="AC192" s="36" t="str">
        <f t="shared" si="2"/>
        <v/>
      </c>
      <c r="AD192" s="9"/>
      <c r="AE192" s="9"/>
      <c r="AF192" s="9"/>
      <c r="AG192" s="9"/>
      <c r="AH192" s="9"/>
      <c r="AI192" s="26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</row>
    <row r="193" spans="4:114" x14ac:dyDescent="0.25">
      <c r="D193" s="14"/>
      <c r="E193" s="15"/>
      <c r="F193" s="14"/>
      <c r="G193" s="14"/>
      <c r="H193" s="14"/>
      <c r="I193" s="14"/>
      <c r="J193" s="14"/>
      <c r="K193" s="25"/>
      <c r="L193" s="34"/>
      <c r="M193" s="34"/>
      <c r="N193" s="9"/>
      <c r="O193" s="9"/>
      <c r="P193" s="9"/>
      <c r="Q193" s="9"/>
      <c r="R193" s="9"/>
      <c r="S193" s="26"/>
      <c r="T193" s="14"/>
      <c r="U193" s="14"/>
      <c r="V193" s="14"/>
      <c r="W193" s="14"/>
      <c r="X193" s="14"/>
      <c r="Y193" s="14"/>
      <c r="Z193" s="25"/>
      <c r="AA193" s="34"/>
      <c r="AB193" s="37"/>
      <c r="AC193" s="36" t="str">
        <f t="shared" si="2"/>
        <v/>
      </c>
      <c r="AD193" s="9"/>
      <c r="AE193" s="9"/>
      <c r="AF193" s="9"/>
      <c r="AG193" s="9"/>
      <c r="AH193" s="9"/>
      <c r="AI193" s="26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</row>
    <row r="194" spans="4:114" x14ac:dyDescent="0.25">
      <c r="D194" s="14"/>
      <c r="E194" s="15"/>
      <c r="F194" s="14"/>
      <c r="G194" s="14"/>
      <c r="H194" s="14"/>
      <c r="I194" s="14"/>
      <c r="J194" s="14"/>
      <c r="K194" s="25"/>
      <c r="L194" s="34"/>
      <c r="M194" s="34"/>
      <c r="N194" s="9"/>
      <c r="O194" s="9"/>
      <c r="P194" s="9"/>
      <c r="Q194" s="9"/>
      <c r="R194" s="9"/>
      <c r="S194" s="26"/>
      <c r="T194" s="14"/>
      <c r="U194" s="14"/>
      <c r="V194" s="14"/>
      <c r="W194" s="14"/>
      <c r="X194" s="14"/>
      <c r="Y194" s="14"/>
      <c r="Z194" s="25"/>
      <c r="AA194" s="34"/>
      <c r="AB194" s="37"/>
      <c r="AC194" s="36" t="str">
        <f t="shared" si="2"/>
        <v/>
      </c>
      <c r="AD194" s="9"/>
      <c r="AE194" s="9"/>
      <c r="AF194" s="9"/>
      <c r="AG194" s="9"/>
      <c r="AH194" s="9"/>
      <c r="AI194" s="26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</row>
    <row r="195" spans="4:114" x14ac:dyDescent="0.25">
      <c r="D195" s="14"/>
      <c r="E195" s="15"/>
      <c r="F195" s="14"/>
      <c r="G195" s="14"/>
      <c r="H195" s="14"/>
      <c r="I195" s="14"/>
      <c r="J195" s="14"/>
      <c r="K195" s="25"/>
      <c r="L195" s="34"/>
      <c r="M195" s="34"/>
      <c r="N195" s="9"/>
      <c r="O195" s="9"/>
      <c r="P195" s="9"/>
      <c r="Q195" s="9"/>
      <c r="R195" s="9"/>
      <c r="S195" s="26"/>
      <c r="T195" s="14"/>
      <c r="U195" s="14"/>
      <c r="V195" s="14"/>
      <c r="W195" s="14"/>
      <c r="X195" s="14"/>
      <c r="Y195" s="14"/>
      <c r="Z195" s="25"/>
      <c r="AA195" s="34"/>
      <c r="AB195" s="37"/>
      <c r="AC195" s="36" t="str">
        <f t="shared" si="2"/>
        <v/>
      </c>
      <c r="AD195" s="9"/>
      <c r="AE195" s="9"/>
      <c r="AF195" s="9"/>
      <c r="AG195" s="9"/>
      <c r="AH195" s="9"/>
      <c r="AI195" s="26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</row>
    <row r="196" spans="4:114" x14ac:dyDescent="0.25">
      <c r="D196" s="14"/>
      <c r="E196" s="15"/>
      <c r="F196" s="14"/>
      <c r="G196" s="14"/>
      <c r="H196" s="14"/>
      <c r="I196" s="14"/>
      <c r="J196" s="14"/>
      <c r="K196" s="25"/>
      <c r="L196" s="34"/>
      <c r="M196" s="34"/>
      <c r="N196" s="9"/>
      <c r="O196" s="9"/>
      <c r="P196" s="9"/>
      <c r="Q196" s="9"/>
      <c r="R196" s="9"/>
      <c r="S196" s="26"/>
      <c r="T196" s="14"/>
      <c r="U196" s="14"/>
      <c r="V196" s="14"/>
      <c r="W196" s="14"/>
      <c r="X196" s="14"/>
      <c r="Y196" s="14"/>
      <c r="Z196" s="25"/>
      <c r="AA196" s="34"/>
      <c r="AB196" s="37"/>
      <c r="AC196" s="36" t="str">
        <f t="shared" si="2"/>
        <v/>
      </c>
      <c r="AD196" s="9"/>
      <c r="AE196" s="9"/>
      <c r="AF196" s="9"/>
      <c r="AG196" s="9"/>
      <c r="AH196" s="9"/>
      <c r="AI196" s="26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</row>
    <row r="197" spans="4:114" x14ac:dyDescent="0.25">
      <c r="D197" s="14"/>
      <c r="E197" s="15"/>
      <c r="F197" s="14"/>
      <c r="G197" s="14"/>
      <c r="H197" s="14"/>
      <c r="I197" s="14"/>
      <c r="J197" s="14"/>
      <c r="K197" s="25"/>
      <c r="L197" s="34"/>
      <c r="M197" s="34"/>
      <c r="N197" s="9"/>
      <c r="O197" s="9"/>
      <c r="P197" s="9"/>
      <c r="Q197" s="9"/>
      <c r="R197" s="9"/>
      <c r="S197" s="26"/>
      <c r="T197" s="14"/>
      <c r="U197" s="14"/>
      <c r="V197" s="14"/>
      <c r="W197" s="14"/>
      <c r="X197" s="14"/>
      <c r="Y197" s="14"/>
      <c r="Z197" s="25"/>
      <c r="AA197" s="34"/>
      <c r="AB197" s="37"/>
      <c r="AC197" s="36" t="str">
        <f t="shared" si="2"/>
        <v/>
      </c>
      <c r="AD197" s="9"/>
      <c r="AE197" s="9"/>
      <c r="AF197" s="9"/>
      <c r="AG197" s="9"/>
      <c r="AH197" s="9"/>
      <c r="AI197" s="26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</row>
    <row r="198" spans="4:114" x14ac:dyDescent="0.25">
      <c r="D198" s="14"/>
      <c r="E198" s="15"/>
      <c r="F198" s="14"/>
      <c r="G198" s="14"/>
      <c r="H198" s="14"/>
      <c r="I198" s="14"/>
      <c r="J198" s="14"/>
      <c r="K198" s="25"/>
      <c r="L198" s="34"/>
      <c r="M198" s="34"/>
      <c r="N198" s="9"/>
      <c r="O198" s="9"/>
      <c r="P198" s="9"/>
      <c r="Q198" s="9"/>
      <c r="R198" s="9"/>
      <c r="S198" s="26"/>
      <c r="T198" s="14"/>
      <c r="U198" s="14"/>
      <c r="V198" s="14"/>
      <c r="W198" s="14"/>
      <c r="X198" s="14"/>
      <c r="Y198" s="14"/>
      <c r="Z198" s="25"/>
      <c r="AA198" s="34"/>
      <c r="AB198" s="37"/>
      <c r="AC198" s="36" t="str">
        <f t="shared" si="2"/>
        <v/>
      </c>
      <c r="AD198" s="9"/>
      <c r="AE198" s="9"/>
      <c r="AF198" s="9"/>
      <c r="AG198" s="9"/>
      <c r="AH198" s="9"/>
      <c r="AI198" s="26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</row>
    <row r="199" spans="4:114" x14ac:dyDescent="0.25">
      <c r="D199" s="14"/>
      <c r="E199" s="15"/>
      <c r="F199" s="14"/>
      <c r="G199" s="14"/>
      <c r="H199" s="14"/>
      <c r="I199" s="14"/>
      <c r="J199" s="14"/>
      <c r="K199" s="25"/>
      <c r="L199" s="34"/>
      <c r="M199" s="34"/>
      <c r="N199" s="9"/>
      <c r="O199" s="9"/>
      <c r="P199" s="9"/>
      <c r="Q199" s="9"/>
      <c r="R199" s="9"/>
      <c r="S199" s="26"/>
      <c r="T199" s="14"/>
      <c r="U199" s="14"/>
      <c r="V199" s="14"/>
      <c r="W199" s="14"/>
      <c r="X199" s="14"/>
      <c r="Y199" s="14"/>
      <c r="Z199" s="25"/>
      <c r="AA199" s="34"/>
      <c r="AB199" s="37"/>
      <c r="AC199" s="36" t="str">
        <f t="shared" si="2"/>
        <v/>
      </c>
      <c r="AD199" s="9"/>
      <c r="AE199" s="9"/>
      <c r="AF199" s="9"/>
      <c r="AG199" s="9"/>
      <c r="AH199" s="9"/>
      <c r="AI199" s="26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</row>
    <row r="200" spans="4:114" x14ac:dyDescent="0.25">
      <c r="D200" s="14"/>
      <c r="E200" s="15"/>
      <c r="F200" s="14"/>
      <c r="G200" s="14"/>
      <c r="H200" s="14"/>
      <c r="I200" s="14"/>
      <c r="J200" s="14"/>
      <c r="K200" s="25"/>
      <c r="L200" s="34"/>
      <c r="M200" s="34"/>
      <c r="N200" s="9"/>
      <c r="O200" s="9"/>
      <c r="P200" s="9"/>
      <c r="Q200" s="9"/>
      <c r="R200" s="9"/>
      <c r="S200" s="26"/>
      <c r="T200" s="14"/>
      <c r="U200" s="14"/>
      <c r="V200" s="14"/>
      <c r="W200" s="14"/>
      <c r="X200" s="14"/>
      <c r="Y200" s="14"/>
      <c r="Z200" s="25"/>
      <c r="AA200" s="34"/>
      <c r="AB200" s="37"/>
      <c r="AC200" s="36" t="str">
        <f t="shared" si="2"/>
        <v/>
      </c>
      <c r="AD200" s="9"/>
      <c r="AE200" s="9"/>
      <c r="AF200" s="9"/>
      <c r="AG200" s="9"/>
      <c r="AH200" s="9"/>
      <c r="AI200" s="26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</row>
    <row r="201" spans="4:114" x14ac:dyDescent="0.25">
      <c r="D201" s="14"/>
      <c r="E201" s="15"/>
      <c r="F201" s="14"/>
      <c r="G201" s="14"/>
      <c r="H201" s="14"/>
      <c r="I201" s="14"/>
      <c r="J201" s="14"/>
      <c r="K201" s="25"/>
      <c r="L201" s="34"/>
      <c r="M201" s="34"/>
      <c r="N201" s="9"/>
      <c r="O201" s="9"/>
      <c r="P201" s="9"/>
      <c r="Q201" s="9"/>
      <c r="R201" s="9"/>
      <c r="S201" s="26"/>
      <c r="T201" s="14"/>
      <c r="U201" s="14"/>
      <c r="V201" s="14"/>
      <c r="W201" s="14"/>
      <c r="X201" s="14"/>
      <c r="Y201" s="14"/>
      <c r="Z201" s="25"/>
      <c r="AA201" s="34"/>
      <c r="AB201" s="37"/>
      <c r="AC201" s="36" t="str">
        <f t="shared" si="2"/>
        <v/>
      </c>
      <c r="AD201" s="9"/>
      <c r="AE201" s="9"/>
      <c r="AF201" s="9"/>
      <c r="AG201" s="9"/>
      <c r="AH201" s="9"/>
      <c r="AI201" s="26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</row>
    <row r="202" spans="4:114" x14ac:dyDescent="0.25">
      <c r="D202" s="14"/>
      <c r="E202" s="15"/>
      <c r="F202" s="14"/>
      <c r="G202" s="14"/>
      <c r="H202" s="14"/>
      <c r="I202" s="14"/>
      <c r="J202" s="14"/>
      <c r="K202" s="25"/>
      <c r="L202" s="34"/>
      <c r="M202" s="34"/>
      <c r="N202" s="9"/>
      <c r="O202" s="9"/>
      <c r="P202" s="9"/>
      <c r="Q202" s="9"/>
      <c r="R202" s="9"/>
      <c r="S202" s="26"/>
      <c r="T202" s="14"/>
      <c r="U202" s="14"/>
      <c r="V202" s="14"/>
      <c r="W202" s="14"/>
      <c r="X202" s="14"/>
      <c r="Y202" s="14"/>
      <c r="Z202" s="25"/>
      <c r="AA202" s="34"/>
      <c r="AB202" s="37"/>
      <c r="AC202" s="36" t="str">
        <f t="shared" si="2"/>
        <v/>
      </c>
      <c r="AD202" s="9"/>
      <c r="AE202" s="9"/>
      <c r="AF202" s="9"/>
      <c r="AG202" s="9"/>
      <c r="AH202" s="9"/>
      <c r="AI202" s="26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</row>
    <row r="203" spans="4:114" x14ac:dyDescent="0.25">
      <c r="D203" s="14"/>
      <c r="E203" s="15"/>
      <c r="F203" s="14"/>
      <c r="G203" s="14"/>
      <c r="H203" s="14"/>
      <c r="I203" s="14"/>
      <c r="J203" s="14"/>
      <c r="K203" s="25"/>
      <c r="L203" s="34"/>
      <c r="M203" s="34"/>
      <c r="N203" s="9"/>
      <c r="O203" s="9"/>
      <c r="P203" s="9"/>
      <c r="Q203" s="9"/>
      <c r="R203" s="9"/>
      <c r="S203" s="26"/>
      <c r="T203" s="14"/>
      <c r="U203" s="14"/>
      <c r="V203" s="14"/>
      <c r="W203" s="14"/>
      <c r="X203" s="14"/>
      <c r="Y203" s="14"/>
      <c r="Z203" s="25"/>
      <c r="AA203" s="34"/>
      <c r="AB203" s="37"/>
      <c r="AC203" s="36" t="str">
        <f t="shared" si="2"/>
        <v/>
      </c>
      <c r="AD203" s="9"/>
      <c r="AE203" s="9"/>
      <c r="AF203" s="9"/>
      <c r="AG203" s="9"/>
      <c r="AH203" s="9"/>
      <c r="AI203" s="26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</row>
    <row r="204" spans="4:114" x14ac:dyDescent="0.25">
      <c r="D204" s="14"/>
      <c r="E204" s="15"/>
      <c r="F204" s="14"/>
      <c r="G204" s="14"/>
      <c r="H204" s="14"/>
      <c r="I204" s="14"/>
      <c r="J204" s="14"/>
      <c r="K204" s="25"/>
      <c r="L204" s="34"/>
      <c r="M204" s="34"/>
      <c r="N204" s="9"/>
      <c r="O204" s="9"/>
      <c r="P204" s="9"/>
      <c r="Q204" s="9"/>
      <c r="R204" s="9"/>
      <c r="S204" s="26"/>
      <c r="T204" s="14"/>
      <c r="U204" s="14"/>
      <c r="V204" s="14"/>
      <c r="W204" s="14"/>
      <c r="X204" s="14"/>
      <c r="Y204" s="14"/>
      <c r="Z204" s="25"/>
      <c r="AA204" s="34"/>
      <c r="AB204" s="37"/>
      <c r="AC204" s="36" t="str">
        <f t="shared" si="2"/>
        <v/>
      </c>
      <c r="AD204" s="9"/>
      <c r="AE204" s="9"/>
      <c r="AF204" s="9"/>
      <c r="AG204" s="9"/>
      <c r="AH204" s="9"/>
      <c r="AI204" s="26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</row>
    <row r="205" spans="4:114" x14ac:dyDescent="0.25">
      <c r="D205" s="14"/>
      <c r="E205" s="15"/>
      <c r="F205" s="14"/>
      <c r="G205" s="14"/>
      <c r="H205" s="14"/>
      <c r="I205" s="14"/>
      <c r="J205" s="14"/>
      <c r="K205" s="25"/>
      <c r="L205" s="34"/>
      <c r="M205" s="34"/>
      <c r="N205" s="9"/>
      <c r="O205" s="9"/>
      <c r="P205" s="9"/>
      <c r="Q205" s="9"/>
      <c r="R205" s="9"/>
      <c r="S205" s="26"/>
      <c r="T205" s="14"/>
      <c r="U205" s="14"/>
      <c r="V205" s="14"/>
      <c r="W205" s="14"/>
      <c r="X205" s="14"/>
      <c r="Y205" s="14"/>
      <c r="Z205" s="25"/>
      <c r="AA205" s="34"/>
      <c r="AB205" s="37"/>
      <c r="AC205" s="36" t="str">
        <f t="shared" ref="AC205:AC268" si="3">IF(AB205="","",MID(AB205,14,IFERROR(FIND(", Powiat",AB205,1),FIND(", Powiat",AB205,1))-LEN("Województwo: ")-1))</f>
        <v/>
      </c>
      <c r="AD205" s="9"/>
      <c r="AE205" s="9"/>
      <c r="AF205" s="9"/>
      <c r="AG205" s="9"/>
      <c r="AH205" s="9"/>
      <c r="AI205" s="26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</row>
    <row r="206" spans="4:114" x14ac:dyDescent="0.25">
      <c r="D206" s="14"/>
      <c r="E206" s="15"/>
      <c r="F206" s="14"/>
      <c r="G206" s="14"/>
      <c r="H206" s="14"/>
      <c r="I206" s="14"/>
      <c r="J206" s="14"/>
      <c r="K206" s="25"/>
      <c r="L206" s="34"/>
      <c r="M206" s="34"/>
      <c r="N206" s="9"/>
      <c r="O206" s="9"/>
      <c r="P206" s="9"/>
      <c r="Q206" s="9"/>
      <c r="R206" s="9"/>
      <c r="S206" s="26"/>
      <c r="T206" s="14"/>
      <c r="U206" s="14"/>
      <c r="V206" s="14"/>
      <c r="W206" s="14"/>
      <c r="X206" s="14"/>
      <c r="Y206" s="14"/>
      <c r="Z206" s="25"/>
      <c r="AA206" s="34"/>
      <c r="AB206" s="37"/>
      <c r="AC206" s="36" t="str">
        <f t="shared" si="3"/>
        <v/>
      </c>
      <c r="AD206" s="9"/>
      <c r="AE206" s="9"/>
      <c r="AF206" s="9"/>
      <c r="AG206" s="9"/>
      <c r="AH206" s="9"/>
      <c r="AI206" s="26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</row>
    <row r="207" spans="4:114" x14ac:dyDescent="0.25">
      <c r="D207" s="14"/>
      <c r="E207" s="15"/>
      <c r="F207" s="14"/>
      <c r="G207" s="14"/>
      <c r="H207" s="14"/>
      <c r="I207" s="14"/>
      <c r="J207" s="14"/>
      <c r="K207" s="25"/>
      <c r="L207" s="34"/>
      <c r="M207" s="34"/>
      <c r="N207" s="9"/>
      <c r="O207" s="9"/>
      <c r="P207" s="9"/>
      <c r="Q207" s="9"/>
      <c r="R207" s="9"/>
      <c r="S207" s="26"/>
      <c r="T207" s="14"/>
      <c r="U207" s="14"/>
      <c r="V207" s="14"/>
      <c r="W207" s="14"/>
      <c r="X207" s="14"/>
      <c r="Y207" s="14"/>
      <c r="Z207" s="25"/>
      <c r="AA207" s="34"/>
      <c r="AB207" s="37"/>
      <c r="AC207" s="36" t="str">
        <f t="shared" si="3"/>
        <v/>
      </c>
      <c r="AD207" s="9"/>
      <c r="AE207" s="9"/>
      <c r="AF207" s="9"/>
      <c r="AG207" s="9"/>
      <c r="AH207" s="9"/>
      <c r="AI207" s="26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  <c r="DG207" s="14"/>
      <c r="DH207" s="14"/>
      <c r="DI207" s="14"/>
      <c r="DJ207" s="14"/>
    </row>
    <row r="208" spans="4:114" x14ac:dyDescent="0.25">
      <c r="D208" s="14"/>
      <c r="E208" s="15"/>
      <c r="F208" s="14"/>
      <c r="G208" s="14"/>
      <c r="H208" s="14"/>
      <c r="I208" s="14"/>
      <c r="J208" s="14"/>
      <c r="K208" s="25"/>
      <c r="L208" s="34"/>
      <c r="M208" s="34"/>
      <c r="N208" s="9"/>
      <c r="O208" s="9"/>
      <c r="P208" s="9"/>
      <c r="Q208" s="9"/>
      <c r="R208" s="9"/>
      <c r="S208" s="26"/>
      <c r="T208" s="14"/>
      <c r="U208" s="14"/>
      <c r="V208" s="14"/>
      <c r="W208" s="14"/>
      <c r="X208" s="14"/>
      <c r="Y208" s="14"/>
      <c r="Z208" s="25"/>
      <c r="AA208" s="34"/>
      <c r="AB208" s="37"/>
      <c r="AC208" s="36" t="str">
        <f t="shared" si="3"/>
        <v/>
      </c>
      <c r="AD208" s="9"/>
      <c r="AE208" s="9"/>
      <c r="AF208" s="9"/>
      <c r="AG208" s="9"/>
      <c r="AH208" s="9"/>
      <c r="AI208" s="26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  <c r="DG208" s="14"/>
      <c r="DH208" s="14"/>
      <c r="DI208" s="14"/>
      <c r="DJ208" s="14"/>
    </row>
    <row r="209" spans="4:114" x14ac:dyDescent="0.25">
      <c r="D209" s="14"/>
      <c r="E209" s="15"/>
      <c r="F209" s="14"/>
      <c r="G209" s="14"/>
      <c r="H209" s="14"/>
      <c r="I209" s="14"/>
      <c r="J209" s="14"/>
      <c r="K209" s="25"/>
      <c r="L209" s="34"/>
      <c r="M209" s="34"/>
      <c r="N209" s="9"/>
      <c r="O209" s="9"/>
      <c r="P209" s="9"/>
      <c r="Q209" s="9"/>
      <c r="R209" s="9"/>
      <c r="S209" s="26"/>
      <c r="T209" s="14"/>
      <c r="U209" s="14"/>
      <c r="V209" s="14"/>
      <c r="W209" s="14"/>
      <c r="X209" s="14"/>
      <c r="Y209" s="14"/>
      <c r="Z209" s="25"/>
      <c r="AA209" s="34"/>
      <c r="AB209" s="37"/>
      <c r="AC209" s="36" t="str">
        <f t="shared" si="3"/>
        <v/>
      </c>
      <c r="AD209" s="9"/>
      <c r="AE209" s="9"/>
      <c r="AF209" s="9"/>
      <c r="AG209" s="9"/>
      <c r="AH209" s="9"/>
      <c r="AI209" s="26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  <c r="DG209" s="14"/>
      <c r="DH209" s="14"/>
      <c r="DI209" s="14"/>
      <c r="DJ209" s="14"/>
    </row>
    <row r="210" spans="4:114" x14ac:dyDescent="0.25">
      <c r="D210" s="14"/>
      <c r="E210" s="15"/>
      <c r="F210" s="14"/>
      <c r="G210" s="14"/>
      <c r="H210" s="14"/>
      <c r="I210" s="14"/>
      <c r="J210" s="14"/>
      <c r="K210" s="25"/>
      <c r="L210" s="34"/>
      <c r="M210" s="34"/>
      <c r="N210" s="9"/>
      <c r="O210" s="9"/>
      <c r="P210" s="9"/>
      <c r="Q210" s="9"/>
      <c r="R210" s="9"/>
      <c r="S210" s="26"/>
      <c r="T210" s="14"/>
      <c r="U210" s="14"/>
      <c r="V210" s="14"/>
      <c r="W210" s="14"/>
      <c r="X210" s="14"/>
      <c r="Y210" s="14"/>
      <c r="Z210" s="25"/>
      <c r="AA210" s="34"/>
      <c r="AB210" s="37"/>
      <c r="AC210" s="36" t="str">
        <f t="shared" si="3"/>
        <v/>
      </c>
      <c r="AD210" s="9"/>
      <c r="AE210" s="9"/>
      <c r="AF210" s="9"/>
      <c r="AG210" s="9"/>
      <c r="AH210" s="9"/>
      <c r="AI210" s="26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  <c r="DG210" s="14"/>
      <c r="DH210" s="14"/>
      <c r="DI210" s="14"/>
      <c r="DJ210" s="14"/>
    </row>
    <row r="211" spans="4:114" x14ac:dyDescent="0.25">
      <c r="D211" s="14"/>
      <c r="E211" s="15"/>
      <c r="F211" s="14"/>
      <c r="G211" s="14"/>
      <c r="H211" s="14"/>
      <c r="I211" s="14"/>
      <c r="J211" s="14"/>
      <c r="K211" s="25"/>
      <c r="L211" s="34"/>
      <c r="M211" s="34"/>
      <c r="N211" s="9"/>
      <c r="O211" s="9"/>
      <c r="P211" s="9"/>
      <c r="Q211" s="9"/>
      <c r="R211" s="9"/>
      <c r="S211" s="26"/>
      <c r="T211" s="14"/>
      <c r="U211" s="14"/>
      <c r="V211" s="14"/>
      <c r="W211" s="14"/>
      <c r="X211" s="14"/>
      <c r="Y211" s="14"/>
      <c r="Z211" s="25"/>
      <c r="AA211" s="34"/>
      <c r="AB211" s="37"/>
      <c r="AC211" s="36" t="str">
        <f t="shared" si="3"/>
        <v/>
      </c>
      <c r="AD211" s="9"/>
      <c r="AE211" s="9"/>
      <c r="AF211" s="9"/>
      <c r="AG211" s="9"/>
      <c r="AH211" s="9"/>
      <c r="AI211" s="26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  <c r="DG211" s="14"/>
      <c r="DH211" s="14"/>
      <c r="DI211" s="14"/>
      <c r="DJ211" s="14"/>
    </row>
    <row r="212" spans="4:114" x14ac:dyDescent="0.25">
      <c r="D212" s="14"/>
      <c r="E212" s="15"/>
      <c r="F212" s="14"/>
      <c r="G212" s="14"/>
      <c r="H212" s="14"/>
      <c r="I212" s="14"/>
      <c r="J212" s="14"/>
      <c r="K212" s="25"/>
      <c r="L212" s="34"/>
      <c r="M212" s="34"/>
      <c r="N212" s="9"/>
      <c r="O212" s="9"/>
      <c r="P212" s="9"/>
      <c r="Q212" s="9"/>
      <c r="R212" s="9"/>
      <c r="S212" s="26"/>
      <c r="T212" s="14"/>
      <c r="U212" s="14"/>
      <c r="V212" s="14"/>
      <c r="W212" s="14"/>
      <c r="X212" s="14"/>
      <c r="Y212" s="14"/>
      <c r="Z212" s="25"/>
      <c r="AA212" s="34"/>
      <c r="AB212" s="37"/>
      <c r="AC212" s="36" t="str">
        <f t="shared" si="3"/>
        <v/>
      </c>
      <c r="AD212" s="9"/>
      <c r="AE212" s="9"/>
      <c r="AF212" s="9"/>
      <c r="AG212" s="9"/>
      <c r="AH212" s="9"/>
      <c r="AI212" s="26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4"/>
      <c r="DF212" s="14"/>
      <c r="DG212" s="14"/>
      <c r="DH212" s="14"/>
      <c r="DI212" s="14"/>
      <c r="DJ212" s="14"/>
    </row>
    <row r="213" spans="4:114" x14ac:dyDescent="0.25">
      <c r="D213" s="14"/>
      <c r="E213" s="15"/>
      <c r="F213" s="14"/>
      <c r="G213" s="14"/>
      <c r="H213" s="14"/>
      <c r="I213" s="14"/>
      <c r="J213" s="14"/>
      <c r="K213" s="25"/>
      <c r="L213" s="34"/>
      <c r="M213" s="34"/>
      <c r="N213" s="9"/>
      <c r="O213" s="9"/>
      <c r="P213" s="9"/>
      <c r="Q213" s="9"/>
      <c r="R213" s="9"/>
      <c r="S213" s="26"/>
      <c r="T213" s="14"/>
      <c r="U213" s="14"/>
      <c r="V213" s="14"/>
      <c r="W213" s="14"/>
      <c r="X213" s="14"/>
      <c r="Y213" s="14"/>
      <c r="Z213" s="25"/>
      <c r="AA213" s="34"/>
      <c r="AB213" s="37"/>
      <c r="AC213" s="36" t="str">
        <f t="shared" si="3"/>
        <v/>
      </c>
      <c r="AD213" s="9"/>
      <c r="AE213" s="9"/>
      <c r="AF213" s="9"/>
      <c r="AG213" s="9"/>
      <c r="AH213" s="9"/>
      <c r="AI213" s="26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  <c r="DG213" s="14"/>
      <c r="DH213" s="14"/>
      <c r="DI213" s="14"/>
      <c r="DJ213" s="14"/>
    </row>
    <row r="214" spans="4:114" x14ac:dyDescent="0.25">
      <c r="D214" s="14"/>
      <c r="E214" s="15"/>
      <c r="F214" s="14"/>
      <c r="G214" s="14"/>
      <c r="H214" s="14"/>
      <c r="I214" s="14"/>
      <c r="J214" s="14"/>
      <c r="K214" s="25"/>
      <c r="L214" s="34"/>
      <c r="M214" s="34"/>
      <c r="N214" s="9"/>
      <c r="O214" s="9"/>
      <c r="P214" s="9"/>
      <c r="Q214" s="9"/>
      <c r="R214" s="9"/>
      <c r="S214" s="26"/>
      <c r="T214" s="14"/>
      <c r="U214" s="14"/>
      <c r="V214" s="14"/>
      <c r="W214" s="14"/>
      <c r="X214" s="14"/>
      <c r="Y214" s="14"/>
      <c r="Z214" s="25"/>
      <c r="AA214" s="34"/>
      <c r="AB214" s="37"/>
      <c r="AC214" s="36" t="str">
        <f t="shared" si="3"/>
        <v/>
      </c>
      <c r="AD214" s="9"/>
      <c r="AE214" s="9"/>
      <c r="AF214" s="9"/>
      <c r="AG214" s="9"/>
      <c r="AH214" s="9"/>
      <c r="AI214" s="26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  <c r="DG214" s="14"/>
      <c r="DH214" s="14"/>
      <c r="DI214" s="14"/>
      <c r="DJ214" s="14"/>
    </row>
    <row r="215" spans="4:114" x14ac:dyDescent="0.25">
      <c r="D215" s="14"/>
      <c r="E215" s="15"/>
      <c r="F215" s="14"/>
      <c r="G215" s="14"/>
      <c r="H215" s="14"/>
      <c r="I215" s="14"/>
      <c r="J215" s="14"/>
      <c r="K215" s="25"/>
      <c r="L215" s="34"/>
      <c r="M215" s="34"/>
      <c r="N215" s="9"/>
      <c r="O215" s="9"/>
      <c r="P215" s="9"/>
      <c r="Q215" s="9"/>
      <c r="R215" s="9"/>
      <c r="S215" s="26"/>
      <c r="T215" s="14"/>
      <c r="U215" s="14"/>
      <c r="V215" s="14"/>
      <c r="W215" s="14"/>
      <c r="X215" s="14"/>
      <c r="Y215" s="14"/>
      <c r="Z215" s="25"/>
      <c r="AA215" s="34"/>
      <c r="AB215" s="37"/>
      <c r="AC215" s="36" t="str">
        <f t="shared" si="3"/>
        <v/>
      </c>
      <c r="AD215" s="9"/>
      <c r="AE215" s="9"/>
      <c r="AF215" s="9"/>
      <c r="AG215" s="9"/>
      <c r="AH215" s="9"/>
      <c r="AI215" s="26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4"/>
      <c r="DF215" s="14"/>
      <c r="DG215" s="14"/>
      <c r="DH215" s="14"/>
      <c r="DI215" s="14"/>
      <c r="DJ215" s="14"/>
    </row>
    <row r="216" spans="4:114" x14ac:dyDescent="0.25">
      <c r="D216" s="14"/>
      <c r="E216" s="15"/>
      <c r="F216" s="14"/>
      <c r="G216" s="14"/>
      <c r="H216" s="14"/>
      <c r="I216" s="14"/>
      <c r="J216" s="14"/>
      <c r="K216" s="25"/>
      <c r="L216" s="34"/>
      <c r="M216" s="34"/>
      <c r="N216" s="9"/>
      <c r="O216" s="9"/>
      <c r="P216" s="9"/>
      <c r="Q216" s="9"/>
      <c r="R216" s="9"/>
      <c r="S216" s="26"/>
      <c r="T216" s="14"/>
      <c r="U216" s="14"/>
      <c r="V216" s="14"/>
      <c r="W216" s="14"/>
      <c r="X216" s="14"/>
      <c r="Y216" s="14"/>
      <c r="Z216" s="25"/>
      <c r="AA216" s="34"/>
      <c r="AB216" s="37"/>
      <c r="AC216" s="36" t="str">
        <f t="shared" si="3"/>
        <v/>
      </c>
      <c r="AD216" s="9"/>
      <c r="AE216" s="9"/>
      <c r="AF216" s="9"/>
      <c r="AG216" s="9"/>
      <c r="AH216" s="9"/>
      <c r="AI216" s="26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</row>
    <row r="217" spans="4:114" x14ac:dyDescent="0.25">
      <c r="D217" s="14"/>
      <c r="E217" s="15"/>
      <c r="F217" s="14"/>
      <c r="G217" s="14"/>
      <c r="H217" s="14"/>
      <c r="I217" s="14"/>
      <c r="J217" s="14"/>
      <c r="K217" s="25"/>
      <c r="L217" s="34"/>
      <c r="M217" s="34"/>
      <c r="N217" s="9"/>
      <c r="O217" s="9"/>
      <c r="P217" s="9"/>
      <c r="Q217" s="9"/>
      <c r="R217" s="9"/>
      <c r="S217" s="26"/>
      <c r="T217" s="14"/>
      <c r="U217" s="14"/>
      <c r="V217" s="14"/>
      <c r="W217" s="14"/>
      <c r="X217" s="14"/>
      <c r="Y217" s="14"/>
      <c r="Z217" s="25"/>
      <c r="AA217" s="34"/>
      <c r="AB217" s="37"/>
      <c r="AC217" s="36" t="str">
        <f t="shared" si="3"/>
        <v/>
      </c>
      <c r="AD217" s="9"/>
      <c r="AE217" s="9"/>
      <c r="AF217" s="9"/>
      <c r="AG217" s="9"/>
      <c r="AH217" s="9"/>
      <c r="AI217" s="26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</row>
    <row r="218" spans="4:114" x14ac:dyDescent="0.25">
      <c r="D218" s="14"/>
      <c r="E218" s="15"/>
      <c r="F218" s="14"/>
      <c r="G218" s="14"/>
      <c r="H218" s="14"/>
      <c r="I218" s="14"/>
      <c r="J218" s="14"/>
      <c r="K218" s="25"/>
      <c r="L218" s="34"/>
      <c r="M218" s="34"/>
      <c r="N218" s="9"/>
      <c r="O218" s="9"/>
      <c r="P218" s="9"/>
      <c r="Q218" s="9"/>
      <c r="R218" s="9"/>
      <c r="S218" s="26"/>
      <c r="T218" s="14"/>
      <c r="U218" s="14"/>
      <c r="V218" s="14"/>
      <c r="W218" s="14"/>
      <c r="X218" s="14"/>
      <c r="Y218" s="14"/>
      <c r="Z218" s="25"/>
      <c r="AA218" s="34"/>
      <c r="AB218" s="37"/>
      <c r="AC218" s="36" t="str">
        <f t="shared" si="3"/>
        <v/>
      </c>
      <c r="AD218" s="9"/>
      <c r="AE218" s="9"/>
      <c r="AF218" s="9"/>
      <c r="AG218" s="9"/>
      <c r="AH218" s="9"/>
      <c r="AI218" s="26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4"/>
      <c r="DF218" s="14"/>
      <c r="DG218" s="14"/>
      <c r="DH218" s="14"/>
      <c r="DI218" s="14"/>
      <c r="DJ218" s="14"/>
    </row>
    <row r="219" spans="4:114" x14ac:dyDescent="0.25">
      <c r="D219" s="14"/>
      <c r="E219" s="15"/>
      <c r="F219" s="14"/>
      <c r="G219" s="14"/>
      <c r="H219" s="14"/>
      <c r="I219" s="14"/>
      <c r="J219" s="14"/>
      <c r="K219" s="25"/>
      <c r="L219" s="34"/>
      <c r="M219" s="34"/>
      <c r="N219" s="9"/>
      <c r="O219" s="9"/>
      <c r="P219" s="9"/>
      <c r="Q219" s="9"/>
      <c r="R219" s="9"/>
      <c r="S219" s="26"/>
      <c r="T219" s="14"/>
      <c r="U219" s="14"/>
      <c r="V219" s="14"/>
      <c r="W219" s="14"/>
      <c r="X219" s="14"/>
      <c r="Y219" s="14"/>
      <c r="Z219" s="25"/>
      <c r="AA219" s="34"/>
      <c r="AB219" s="37"/>
      <c r="AC219" s="36" t="str">
        <f t="shared" si="3"/>
        <v/>
      </c>
      <c r="AD219" s="9"/>
      <c r="AE219" s="9"/>
      <c r="AF219" s="9"/>
      <c r="AG219" s="9"/>
      <c r="AH219" s="9"/>
      <c r="AI219" s="26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4"/>
      <c r="DF219" s="14"/>
      <c r="DG219" s="14"/>
      <c r="DH219" s="14"/>
      <c r="DI219" s="14"/>
      <c r="DJ219" s="14"/>
    </row>
    <row r="220" spans="4:114" x14ac:dyDescent="0.25">
      <c r="D220" s="14"/>
      <c r="E220" s="15"/>
      <c r="F220" s="14"/>
      <c r="G220" s="14"/>
      <c r="H220" s="14"/>
      <c r="I220" s="14"/>
      <c r="J220" s="14"/>
      <c r="K220" s="25"/>
      <c r="L220" s="34"/>
      <c r="M220" s="34"/>
      <c r="N220" s="9"/>
      <c r="O220" s="9"/>
      <c r="P220" s="9"/>
      <c r="Q220" s="9"/>
      <c r="R220" s="9"/>
      <c r="S220" s="26"/>
      <c r="T220" s="14"/>
      <c r="U220" s="14"/>
      <c r="V220" s="14"/>
      <c r="W220" s="14"/>
      <c r="X220" s="14"/>
      <c r="Y220" s="14"/>
      <c r="Z220" s="25"/>
      <c r="AA220" s="34"/>
      <c r="AB220" s="37"/>
      <c r="AC220" s="36" t="str">
        <f t="shared" si="3"/>
        <v/>
      </c>
      <c r="AD220" s="9"/>
      <c r="AE220" s="9"/>
      <c r="AF220" s="9"/>
      <c r="AG220" s="9"/>
      <c r="AH220" s="9"/>
      <c r="AI220" s="26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4"/>
      <c r="DF220" s="14"/>
      <c r="DG220" s="14"/>
      <c r="DH220" s="14"/>
      <c r="DI220" s="14"/>
      <c r="DJ220" s="14"/>
    </row>
    <row r="221" spans="4:114" x14ac:dyDescent="0.25">
      <c r="D221" s="14"/>
      <c r="E221" s="15"/>
      <c r="F221" s="14"/>
      <c r="G221" s="14"/>
      <c r="H221" s="14"/>
      <c r="I221" s="14"/>
      <c r="J221" s="14"/>
      <c r="K221" s="25"/>
      <c r="L221" s="34"/>
      <c r="M221" s="34"/>
      <c r="N221" s="9"/>
      <c r="O221" s="9"/>
      <c r="P221" s="9"/>
      <c r="Q221" s="9"/>
      <c r="R221" s="9"/>
      <c r="S221" s="26"/>
      <c r="T221" s="14"/>
      <c r="U221" s="14"/>
      <c r="V221" s="14"/>
      <c r="W221" s="14"/>
      <c r="X221" s="14"/>
      <c r="Y221" s="14"/>
      <c r="Z221" s="25"/>
      <c r="AA221" s="34"/>
      <c r="AB221" s="37"/>
      <c r="AC221" s="36" t="str">
        <f t="shared" si="3"/>
        <v/>
      </c>
      <c r="AD221" s="9"/>
      <c r="AE221" s="9"/>
      <c r="AF221" s="9"/>
      <c r="AG221" s="9"/>
      <c r="AH221" s="9"/>
      <c r="AI221" s="26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  <c r="DG221" s="14"/>
      <c r="DH221" s="14"/>
      <c r="DI221" s="14"/>
      <c r="DJ221" s="14"/>
    </row>
    <row r="222" spans="4:114" x14ac:dyDescent="0.25">
      <c r="D222" s="14"/>
      <c r="E222" s="15"/>
      <c r="F222" s="14"/>
      <c r="G222" s="14"/>
      <c r="H222" s="14"/>
      <c r="I222" s="14"/>
      <c r="J222" s="14"/>
      <c r="K222" s="25"/>
      <c r="L222" s="34"/>
      <c r="M222" s="34"/>
      <c r="N222" s="9"/>
      <c r="O222" s="9"/>
      <c r="P222" s="9"/>
      <c r="Q222" s="9"/>
      <c r="R222" s="9"/>
      <c r="S222" s="26"/>
      <c r="T222" s="14"/>
      <c r="U222" s="14"/>
      <c r="V222" s="14"/>
      <c r="W222" s="14"/>
      <c r="X222" s="14"/>
      <c r="Y222" s="14"/>
      <c r="Z222" s="25"/>
      <c r="AA222" s="34"/>
      <c r="AB222" s="37"/>
      <c r="AC222" s="36" t="str">
        <f t="shared" si="3"/>
        <v/>
      </c>
      <c r="AD222" s="9"/>
      <c r="AE222" s="9"/>
      <c r="AF222" s="9"/>
      <c r="AG222" s="9"/>
      <c r="AH222" s="9"/>
      <c r="AI222" s="26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4"/>
      <c r="DF222" s="14"/>
      <c r="DG222" s="14"/>
      <c r="DH222" s="14"/>
      <c r="DI222" s="14"/>
      <c r="DJ222" s="14"/>
    </row>
    <row r="223" spans="4:114" x14ac:dyDescent="0.25">
      <c r="D223" s="14"/>
      <c r="E223" s="15"/>
      <c r="F223" s="14"/>
      <c r="G223" s="14"/>
      <c r="H223" s="14"/>
      <c r="I223" s="14"/>
      <c r="J223" s="14"/>
      <c r="K223" s="25"/>
      <c r="L223" s="34"/>
      <c r="M223" s="34"/>
      <c r="N223" s="9"/>
      <c r="O223" s="9"/>
      <c r="P223" s="9"/>
      <c r="Q223" s="9"/>
      <c r="R223" s="9"/>
      <c r="S223" s="26"/>
      <c r="T223" s="14"/>
      <c r="U223" s="14"/>
      <c r="V223" s="14"/>
      <c r="W223" s="14"/>
      <c r="X223" s="14"/>
      <c r="Y223" s="14"/>
      <c r="Z223" s="25"/>
      <c r="AA223" s="34"/>
      <c r="AB223" s="37"/>
      <c r="AC223" s="36" t="str">
        <f t="shared" si="3"/>
        <v/>
      </c>
      <c r="AD223" s="9"/>
      <c r="AE223" s="9"/>
      <c r="AF223" s="9"/>
      <c r="AG223" s="9"/>
      <c r="AH223" s="9"/>
      <c r="AI223" s="26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  <c r="DG223" s="14"/>
      <c r="DH223" s="14"/>
      <c r="DI223" s="14"/>
      <c r="DJ223" s="14"/>
    </row>
    <row r="224" spans="4:114" x14ac:dyDescent="0.25">
      <c r="D224" s="14"/>
      <c r="E224" s="15"/>
      <c r="F224" s="14"/>
      <c r="G224" s="14"/>
      <c r="H224" s="14"/>
      <c r="I224" s="14"/>
      <c r="J224" s="14"/>
      <c r="K224" s="25"/>
      <c r="L224" s="34"/>
      <c r="M224" s="34"/>
      <c r="N224" s="9"/>
      <c r="O224" s="9"/>
      <c r="P224" s="9"/>
      <c r="Q224" s="9"/>
      <c r="R224" s="9"/>
      <c r="S224" s="26"/>
      <c r="T224" s="14"/>
      <c r="U224" s="14"/>
      <c r="V224" s="14"/>
      <c r="W224" s="14"/>
      <c r="X224" s="14"/>
      <c r="Y224" s="14"/>
      <c r="Z224" s="25"/>
      <c r="AA224" s="34"/>
      <c r="AB224" s="37"/>
      <c r="AC224" s="36" t="str">
        <f t="shared" si="3"/>
        <v/>
      </c>
      <c r="AD224" s="9"/>
      <c r="AE224" s="9"/>
      <c r="AF224" s="9"/>
      <c r="AG224" s="9"/>
      <c r="AH224" s="9"/>
      <c r="AI224" s="26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4"/>
    </row>
    <row r="225" spans="4:114" x14ac:dyDescent="0.25">
      <c r="D225" s="14"/>
      <c r="E225" s="15"/>
      <c r="F225" s="14"/>
      <c r="G225" s="14"/>
      <c r="H225" s="14"/>
      <c r="I225" s="14"/>
      <c r="J225" s="14"/>
      <c r="K225" s="25"/>
      <c r="L225" s="34"/>
      <c r="M225" s="34"/>
      <c r="N225" s="9"/>
      <c r="O225" s="9"/>
      <c r="P225" s="9"/>
      <c r="Q225" s="9"/>
      <c r="R225" s="9"/>
      <c r="S225" s="26"/>
      <c r="T225" s="14"/>
      <c r="U225" s="14"/>
      <c r="V225" s="14"/>
      <c r="W225" s="14"/>
      <c r="X225" s="14"/>
      <c r="Y225" s="14"/>
      <c r="Z225" s="25"/>
      <c r="AA225" s="34"/>
      <c r="AB225" s="37"/>
      <c r="AC225" s="36" t="str">
        <f t="shared" si="3"/>
        <v/>
      </c>
      <c r="AD225" s="9"/>
      <c r="AE225" s="9"/>
      <c r="AF225" s="9"/>
      <c r="AG225" s="9"/>
      <c r="AH225" s="9"/>
      <c r="AI225" s="26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4"/>
      <c r="DF225" s="14"/>
      <c r="DG225" s="14"/>
      <c r="DH225" s="14"/>
      <c r="DI225" s="14"/>
      <c r="DJ225" s="14"/>
    </row>
    <row r="226" spans="4:114" x14ac:dyDescent="0.25">
      <c r="D226" s="14"/>
      <c r="E226" s="15"/>
      <c r="F226" s="14"/>
      <c r="G226" s="14"/>
      <c r="H226" s="14"/>
      <c r="I226" s="14"/>
      <c r="J226" s="14"/>
      <c r="K226" s="25"/>
      <c r="L226" s="34"/>
      <c r="M226" s="34"/>
      <c r="N226" s="9"/>
      <c r="O226" s="9"/>
      <c r="P226" s="9"/>
      <c r="Q226" s="9"/>
      <c r="R226" s="9"/>
      <c r="S226" s="26"/>
      <c r="T226" s="14"/>
      <c r="U226" s="14"/>
      <c r="V226" s="14"/>
      <c r="W226" s="14"/>
      <c r="X226" s="14"/>
      <c r="Y226" s="14"/>
      <c r="Z226" s="25"/>
      <c r="AA226" s="34"/>
      <c r="AB226" s="37"/>
      <c r="AC226" s="36" t="str">
        <f t="shared" si="3"/>
        <v/>
      </c>
      <c r="AD226" s="9"/>
      <c r="AE226" s="9"/>
      <c r="AF226" s="9"/>
      <c r="AG226" s="9"/>
      <c r="AH226" s="9"/>
      <c r="AI226" s="26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4"/>
      <c r="DF226" s="14"/>
      <c r="DG226" s="14"/>
      <c r="DH226" s="14"/>
      <c r="DI226" s="14"/>
      <c r="DJ226" s="14"/>
    </row>
    <row r="227" spans="4:114" x14ac:dyDescent="0.25">
      <c r="D227" s="14"/>
      <c r="E227" s="15"/>
      <c r="F227" s="14"/>
      <c r="G227" s="14"/>
      <c r="H227" s="14"/>
      <c r="I227" s="14"/>
      <c r="J227" s="14"/>
      <c r="K227" s="25"/>
      <c r="L227" s="34"/>
      <c r="M227" s="34"/>
      <c r="N227" s="9"/>
      <c r="O227" s="9"/>
      <c r="P227" s="9"/>
      <c r="Q227" s="9"/>
      <c r="R227" s="9"/>
      <c r="S227" s="26"/>
      <c r="T227" s="14"/>
      <c r="U227" s="14"/>
      <c r="V227" s="14"/>
      <c r="W227" s="14"/>
      <c r="X227" s="14"/>
      <c r="Y227" s="14"/>
      <c r="Z227" s="25"/>
      <c r="AA227" s="34"/>
      <c r="AB227" s="37"/>
      <c r="AC227" s="36" t="str">
        <f t="shared" si="3"/>
        <v/>
      </c>
      <c r="AD227" s="9"/>
      <c r="AE227" s="9"/>
      <c r="AF227" s="9"/>
      <c r="AG227" s="9"/>
      <c r="AH227" s="9"/>
      <c r="AI227" s="26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4"/>
      <c r="DF227" s="14"/>
      <c r="DG227" s="14"/>
      <c r="DH227" s="14"/>
      <c r="DI227" s="14"/>
      <c r="DJ227" s="14"/>
    </row>
    <row r="228" spans="4:114" x14ac:dyDescent="0.25">
      <c r="D228" s="14"/>
      <c r="E228" s="15"/>
      <c r="F228" s="14"/>
      <c r="G228" s="14"/>
      <c r="H228" s="14"/>
      <c r="I228" s="14"/>
      <c r="J228" s="14"/>
      <c r="K228" s="25"/>
      <c r="L228" s="34"/>
      <c r="M228" s="34"/>
      <c r="N228" s="9"/>
      <c r="O228" s="9"/>
      <c r="P228" s="9"/>
      <c r="Q228" s="9"/>
      <c r="R228" s="9"/>
      <c r="S228" s="26"/>
      <c r="T228" s="14"/>
      <c r="U228" s="14"/>
      <c r="V228" s="14"/>
      <c r="W228" s="14"/>
      <c r="X228" s="14"/>
      <c r="Y228" s="14"/>
      <c r="Z228" s="25"/>
      <c r="AA228" s="34"/>
      <c r="AB228" s="37"/>
      <c r="AC228" s="36" t="str">
        <f t="shared" si="3"/>
        <v/>
      </c>
      <c r="AD228" s="9"/>
      <c r="AE228" s="9"/>
      <c r="AF228" s="9"/>
      <c r="AG228" s="9"/>
      <c r="AH228" s="9"/>
      <c r="AI228" s="26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4"/>
      <c r="DF228" s="14"/>
      <c r="DG228" s="14"/>
      <c r="DH228" s="14"/>
      <c r="DI228" s="14"/>
      <c r="DJ228" s="14"/>
    </row>
    <row r="229" spans="4:114" x14ac:dyDescent="0.25">
      <c r="D229" s="14"/>
      <c r="E229" s="15"/>
      <c r="F229" s="14"/>
      <c r="G229" s="14"/>
      <c r="H229" s="14"/>
      <c r="I229" s="14"/>
      <c r="J229" s="14"/>
      <c r="K229" s="25"/>
      <c r="L229" s="34"/>
      <c r="M229" s="34"/>
      <c r="N229" s="9"/>
      <c r="O229" s="9"/>
      <c r="P229" s="9"/>
      <c r="Q229" s="9"/>
      <c r="R229" s="9"/>
      <c r="S229" s="26"/>
      <c r="T229" s="14"/>
      <c r="U229" s="14"/>
      <c r="V229" s="14"/>
      <c r="W229" s="14"/>
      <c r="X229" s="14"/>
      <c r="Y229" s="14"/>
      <c r="Z229" s="25"/>
      <c r="AA229" s="34"/>
      <c r="AB229" s="37"/>
      <c r="AC229" s="36" t="str">
        <f t="shared" si="3"/>
        <v/>
      </c>
      <c r="AD229" s="9"/>
      <c r="AE229" s="9"/>
      <c r="AF229" s="9"/>
      <c r="AG229" s="9"/>
      <c r="AH229" s="9"/>
      <c r="AI229" s="26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4"/>
      <c r="DF229" s="14"/>
      <c r="DG229" s="14"/>
      <c r="DH229" s="14"/>
      <c r="DI229" s="14"/>
      <c r="DJ229" s="14"/>
    </row>
    <row r="230" spans="4:114" x14ac:dyDescent="0.25">
      <c r="D230" s="14"/>
      <c r="E230" s="15"/>
      <c r="F230" s="14"/>
      <c r="G230" s="14"/>
      <c r="H230" s="14"/>
      <c r="I230" s="14"/>
      <c r="J230" s="14"/>
      <c r="K230" s="25"/>
      <c r="L230" s="34"/>
      <c r="M230" s="34"/>
      <c r="N230" s="9"/>
      <c r="O230" s="9"/>
      <c r="P230" s="9"/>
      <c r="Q230" s="9"/>
      <c r="R230" s="9"/>
      <c r="S230" s="26"/>
      <c r="T230" s="14"/>
      <c r="U230" s="14"/>
      <c r="V230" s="14"/>
      <c r="W230" s="14"/>
      <c r="X230" s="14"/>
      <c r="Y230" s="14"/>
      <c r="Z230" s="25"/>
      <c r="AA230" s="34"/>
      <c r="AB230" s="37"/>
      <c r="AC230" s="36" t="str">
        <f t="shared" si="3"/>
        <v/>
      </c>
      <c r="AD230" s="9"/>
      <c r="AE230" s="9"/>
      <c r="AF230" s="9"/>
      <c r="AG230" s="9"/>
      <c r="AH230" s="9"/>
      <c r="AI230" s="26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4"/>
      <c r="DF230" s="14"/>
      <c r="DG230" s="14"/>
      <c r="DH230" s="14"/>
      <c r="DI230" s="14"/>
      <c r="DJ230" s="14"/>
    </row>
    <row r="231" spans="4:114" x14ac:dyDescent="0.25">
      <c r="D231" s="14"/>
      <c r="E231" s="15"/>
      <c r="F231" s="14"/>
      <c r="G231" s="14"/>
      <c r="H231" s="14"/>
      <c r="I231" s="14"/>
      <c r="J231" s="14"/>
      <c r="K231" s="25"/>
      <c r="L231" s="34"/>
      <c r="M231" s="34"/>
      <c r="N231" s="9"/>
      <c r="O231" s="9"/>
      <c r="P231" s="9"/>
      <c r="Q231" s="9"/>
      <c r="R231" s="9"/>
      <c r="S231" s="26"/>
      <c r="T231" s="14"/>
      <c r="U231" s="14"/>
      <c r="V231" s="14"/>
      <c r="W231" s="14"/>
      <c r="X231" s="14"/>
      <c r="Y231" s="14"/>
      <c r="Z231" s="25"/>
      <c r="AA231" s="34"/>
      <c r="AB231" s="37"/>
      <c r="AC231" s="36" t="str">
        <f t="shared" si="3"/>
        <v/>
      </c>
      <c r="AD231" s="9"/>
      <c r="AE231" s="9"/>
      <c r="AF231" s="9"/>
      <c r="AG231" s="9"/>
      <c r="AH231" s="9"/>
      <c r="AI231" s="26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4"/>
      <c r="DF231" s="14"/>
      <c r="DG231" s="14"/>
      <c r="DH231" s="14"/>
      <c r="DI231" s="14"/>
      <c r="DJ231" s="14"/>
    </row>
    <row r="232" spans="4:114" x14ac:dyDescent="0.25">
      <c r="D232" s="14"/>
      <c r="E232" s="15"/>
      <c r="F232" s="14"/>
      <c r="G232" s="14"/>
      <c r="H232" s="14"/>
      <c r="I232" s="14"/>
      <c r="J232" s="14"/>
      <c r="K232" s="25"/>
      <c r="L232" s="34"/>
      <c r="M232" s="34"/>
      <c r="N232" s="9"/>
      <c r="O232" s="9"/>
      <c r="P232" s="9"/>
      <c r="Q232" s="9"/>
      <c r="R232" s="9"/>
      <c r="S232" s="26"/>
      <c r="T232" s="14"/>
      <c r="U232" s="14"/>
      <c r="V232" s="14"/>
      <c r="W232" s="14"/>
      <c r="X232" s="14"/>
      <c r="Y232" s="14"/>
      <c r="Z232" s="25"/>
      <c r="AA232" s="34"/>
      <c r="AB232" s="37"/>
      <c r="AC232" s="36" t="str">
        <f t="shared" si="3"/>
        <v/>
      </c>
      <c r="AD232" s="9"/>
      <c r="AE232" s="9"/>
      <c r="AF232" s="9"/>
      <c r="AG232" s="9"/>
      <c r="AH232" s="9"/>
      <c r="AI232" s="26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4"/>
      <c r="DF232" s="14"/>
      <c r="DG232" s="14"/>
      <c r="DH232" s="14"/>
      <c r="DI232" s="14"/>
      <c r="DJ232" s="14"/>
    </row>
    <row r="233" spans="4:114" x14ac:dyDescent="0.25">
      <c r="D233" s="14"/>
      <c r="E233" s="15"/>
      <c r="F233" s="14"/>
      <c r="G233" s="14"/>
      <c r="H233" s="14"/>
      <c r="I233" s="14"/>
      <c r="J233" s="14"/>
      <c r="K233" s="25"/>
      <c r="L233" s="34"/>
      <c r="M233" s="34"/>
      <c r="N233" s="9"/>
      <c r="O233" s="9"/>
      <c r="P233" s="9"/>
      <c r="Q233" s="9"/>
      <c r="R233" s="9"/>
      <c r="S233" s="26"/>
      <c r="T233" s="14"/>
      <c r="U233" s="14"/>
      <c r="V233" s="14"/>
      <c r="W233" s="14"/>
      <c r="X233" s="14"/>
      <c r="Y233" s="14"/>
      <c r="Z233" s="25"/>
      <c r="AA233" s="34"/>
      <c r="AB233" s="37"/>
      <c r="AC233" s="36" t="str">
        <f t="shared" si="3"/>
        <v/>
      </c>
      <c r="AD233" s="9"/>
      <c r="AE233" s="9"/>
      <c r="AF233" s="9"/>
      <c r="AG233" s="9"/>
      <c r="AH233" s="9"/>
      <c r="AI233" s="26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4"/>
      <c r="DF233" s="14"/>
      <c r="DG233" s="14"/>
      <c r="DH233" s="14"/>
      <c r="DI233" s="14"/>
      <c r="DJ233" s="14"/>
    </row>
    <row r="234" spans="4:114" x14ac:dyDescent="0.25">
      <c r="D234" s="14"/>
      <c r="E234" s="15"/>
      <c r="F234" s="14"/>
      <c r="G234" s="14"/>
      <c r="H234" s="14"/>
      <c r="I234" s="14"/>
      <c r="J234" s="14"/>
      <c r="K234" s="25"/>
      <c r="L234" s="34"/>
      <c r="M234" s="34"/>
      <c r="N234" s="9"/>
      <c r="O234" s="9"/>
      <c r="P234" s="9"/>
      <c r="Q234" s="9"/>
      <c r="R234" s="9"/>
      <c r="S234" s="26"/>
      <c r="T234" s="14"/>
      <c r="U234" s="14"/>
      <c r="V234" s="14"/>
      <c r="W234" s="14"/>
      <c r="X234" s="14"/>
      <c r="Y234" s="14"/>
      <c r="Z234" s="25"/>
      <c r="AA234" s="34"/>
      <c r="AB234" s="37"/>
      <c r="AC234" s="36" t="str">
        <f t="shared" si="3"/>
        <v/>
      </c>
      <c r="AD234" s="9"/>
      <c r="AE234" s="9"/>
      <c r="AF234" s="9"/>
      <c r="AG234" s="9"/>
      <c r="AH234" s="9"/>
      <c r="AI234" s="26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4"/>
      <c r="DF234" s="14"/>
      <c r="DG234" s="14"/>
      <c r="DH234" s="14"/>
      <c r="DI234" s="14"/>
      <c r="DJ234" s="14"/>
    </row>
    <row r="235" spans="4:114" x14ac:dyDescent="0.25">
      <c r="D235" s="14"/>
      <c r="E235" s="15"/>
      <c r="F235" s="14"/>
      <c r="G235" s="14"/>
      <c r="H235" s="14"/>
      <c r="I235" s="14"/>
      <c r="J235" s="14"/>
      <c r="K235" s="25"/>
      <c r="L235" s="34"/>
      <c r="M235" s="34"/>
      <c r="N235" s="9"/>
      <c r="O235" s="9"/>
      <c r="P235" s="9"/>
      <c r="Q235" s="9"/>
      <c r="R235" s="9"/>
      <c r="S235" s="26"/>
      <c r="T235" s="14"/>
      <c r="U235" s="14"/>
      <c r="V235" s="14"/>
      <c r="W235" s="14"/>
      <c r="X235" s="14"/>
      <c r="Y235" s="14"/>
      <c r="Z235" s="25"/>
      <c r="AA235" s="34"/>
      <c r="AB235" s="37"/>
      <c r="AC235" s="36" t="str">
        <f t="shared" si="3"/>
        <v/>
      </c>
      <c r="AD235" s="9"/>
      <c r="AE235" s="9"/>
      <c r="AF235" s="9"/>
      <c r="AG235" s="9"/>
      <c r="AH235" s="9"/>
      <c r="AI235" s="26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4"/>
      <c r="DF235" s="14"/>
      <c r="DG235" s="14"/>
      <c r="DH235" s="14"/>
      <c r="DI235" s="14"/>
      <c r="DJ235" s="14"/>
    </row>
    <row r="236" spans="4:114" x14ac:dyDescent="0.25">
      <c r="D236" s="14"/>
      <c r="E236" s="15"/>
      <c r="F236" s="14"/>
      <c r="G236" s="14"/>
      <c r="H236" s="14"/>
      <c r="I236" s="14"/>
      <c r="J236" s="14"/>
      <c r="K236" s="25"/>
      <c r="L236" s="34"/>
      <c r="M236" s="34"/>
      <c r="N236" s="9"/>
      <c r="O236" s="9"/>
      <c r="P236" s="9"/>
      <c r="Q236" s="9"/>
      <c r="R236" s="9"/>
      <c r="S236" s="26"/>
      <c r="T236" s="14"/>
      <c r="U236" s="14"/>
      <c r="V236" s="14"/>
      <c r="W236" s="14"/>
      <c r="X236" s="14"/>
      <c r="Y236" s="14"/>
      <c r="Z236" s="25"/>
      <c r="AA236" s="34"/>
      <c r="AB236" s="37"/>
      <c r="AC236" s="36" t="str">
        <f t="shared" si="3"/>
        <v/>
      </c>
      <c r="AD236" s="9"/>
      <c r="AE236" s="9"/>
      <c r="AF236" s="9"/>
      <c r="AG236" s="9"/>
      <c r="AH236" s="9"/>
      <c r="AI236" s="26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4"/>
      <c r="DF236" s="14"/>
      <c r="DG236" s="14"/>
      <c r="DH236" s="14"/>
      <c r="DI236" s="14"/>
      <c r="DJ236" s="14"/>
    </row>
    <row r="237" spans="4:114" x14ac:dyDescent="0.25">
      <c r="D237" s="14"/>
      <c r="E237" s="15"/>
      <c r="F237" s="14"/>
      <c r="G237" s="14"/>
      <c r="H237" s="14"/>
      <c r="I237" s="14"/>
      <c r="J237" s="14"/>
      <c r="K237" s="25"/>
      <c r="L237" s="34"/>
      <c r="M237" s="34"/>
      <c r="N237" s="9"/>
      <c r="O237" s="9"/>
      <c r="P237" s="9"/>
      <c r="Q237" s="9"/>
      <c r="R237" s="9"/>
      <c r="S237" s="26"/>
      <c r="T237" s="14"/>
      <c r="U237" s="14"/>
      <c r="V237" s="14"/>
      <c r="W237" s="14"/>
      <c r="X237" s="14"/>
      <c r="Y237" s="14"/>
      <c r="Z237" s="25"/>
      <c r="AA237" s="34"/>
      <c r="AB237" s="37"/>
      <c r="AC237" s="36" t="str">
        <f t="shared" si="3"/>
        <v/>
      </c>
      <c r="AD237" s="9"/>
      <c r="AE237" s="9"/>
      <c r="AF237" s="9"/>
      <c r="AG237" s="9"/>
      <c r="AH237" s="9"/>
      <c r="AI237" s="26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4"/>
      <c r="DF237" s="14"/>
      <c r="DG237" s="14"/>
      <c r="DH237" s="14"/>
      <c r="DI237" s="14"/>
      <c r="DJ237" s="14"/>
    </row>
    <row r="238" spans="4:114" x14ac:dyDescent="0.25">
      <c r="D238" s="14"/>
      <c r="E238" s="15"/>
      <c r="F238" s="14"/>
      <c r="G238" s="14"/>
      <c r="H238" s="14"/>
      <c r="I238" s="14"/>
      <c r="J238" s="14"/>
      <c r="K238" s="25"/>
      <c r="L238" s="34"/>
      <c r="M238" s="34"/>
      <c r="N238" s="9"/>
      <c r="O238" s="9"/>
      <c r="P238" s="9"/>
      <c r="Q238" s="9"/>
      <c r="R238" s="9"/>
      <c r="S238" s="26"/>
      <c r="T238" s="14"/>
      <c r="U238" s="14"/>
      <c r="V238" s="14"/>
      <c r="W238" s="14"/>
      <c r="X238" s="14"/>
      <c r="Y238" s="14"/>
      <c r="Z238" s="25"/>
      <c r="AA238" s="34"/>
      <c r="AB238" s="37"/>
      <c r="AC238" s="36" t="str">
        <f t="shared" si="3"/>
        <v/>
      </c>
      <c r="AD238" s="9"/>
      <c r="AE238" s="9"/>
      <c r="AF238" s="9"/>
      <c r="AG238" s="9"/>
      <c r="AH238" s="9"/>
      <c r="AI238" s="26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4"/>
      <c r="DF238" s="14"/>
      <c r="DG238" s="14"/>
      <c r="DH238" s="14"/>
      <c r="DI238" s="14"/>
      <c r="DJ238" s="14"/>
    </row>
    <row r="239" spans="4:114" x14ac:dyDescent="0.25">
      <c r="D239" s="14"/>
      <c r="E239" s="15"/>
      <c r="F239" s="14"/>
      <c r="G239" s="14"/>
      <c r="H239" s="14"/>
      <c r="I239" s="14"/>
      <c r="J239" s="14"/>
      <c r="K239" s="25"/>
      <c r="L239" s="34"/>
      <c r="M239" s="34"/>
      <c r="N239" s="9"/>
      <c r="O239" s="9"/>
      <c r="P239" s="9"/>
      <c r="Q239" s="9"/>
      <c r="R239" s="9"/>
      <c r="S239" s="26"/>
      <c r="T239" s="14"/>
      <c r="U239" s="14"/>
      <c r="V239" s="14"/>
      <c r="W239" s="14"/>
      <c r="X239" s="14"/>
      <c r="Y239" s="14"/>
      <c r="Z239" s="25"/>
      <c r="AA239" s="34"/>
      <c r="AB239" s="37"/>
      <c r="AC239" s="36" t="str">
        <f t="shared" si="3"/>
        <v/>
      </c>
      <c r="AD239" s="9"/>
      <c r="AE239" s="9"/>
      <c r="AF239" s="9"/>
      <c r="AG239" s="9"/>
      <c r="AH239" s="9"/>
      <c r="AI239" s="26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4"/>
      <c r="DF239" s="14"/>
      <c r="DG239" s="14"/>
      <c r="DH239" s="14"/>
      <c r="DI239" s="14"/>
      <c r="DJ239" s="14"/>
    </row>
    <row r="240" spans="4:114" x14ac:dyDescent="0.25">
      <c r="D240" s="14"/>
      <c r="E240" s="15"/>
      <c r="F240" s="14"/>
      <c r="G240" s="14"/>
      <c r="H240" s="14"/>
      <c r="I240" s="14"/>
      <c r="J240" s="14"/>
      <c r="K240" s="25"/>
      <c r="L240" s="34"/>
      <c r="M240" s="34"/>
      <c r="N240" s="9"/>
      <c r="O240" s="9"/>
      <c r="P240" s="9"/>
      <c r="Q240" s="9"/>
      <c r="R240" s="9"/>
      <c r="S240" s="26"/>
      <c r="T240" s="14"/>
      <c r="U240" s="14"/>
      <c r="V240" s="14"/>
      <c r="W240" s="14"/>
      <c r="X240" s="14"/>
      <c r="Y240" s="14"/>
      <c r="Z240" s="25"/>
      <c r="AA240" s="34"/>
      <c r="AB240" s="37"/>
      <c r="AC240" s="36" t="str">
        <f t="shared" si="3"/>
        <v/>
      </c>
      <c r="AD240" s="9"/>
      <c r="AE240" s="9"/>
      <c r="AF240" s="9"/>
      <c r="AG240" s="9"/>
      <c r="AH240" s="9"/>
      <c r="AI240" s="26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4"/>
      <c r="DF240" s="14"/>
      <c r="DG240" s="14"/>
      <c r="DH240" s="14"/>
      <c r="DI240" s="14"/>
      <c r="DJ240" s="14"/>
    </row>
    <row r="241" spans="4:114" x14ac:dyDescent="0.25">
      <c r="D241" s="14"/>
      <c r="E241" s="15"/>
      <c r="F241" s="14"/>
      <c r="G241" s="14"/>
      <c r="H241" s="14"/>
      <c r="I241" s="14"/>
      <c r="J241" s="14"/>
      <c r="K241" s="25"/>
      <c r="L241" s="34"/>
      <c r="M241" s="34"/>
      <c r="N241" s="9"/>
      <c r="O241" s="9"/>
      <c r="P241" s="9"/>
      <c r="Q241" s="9"/>
      <c r="R241" s="9"/>
      <c r="S241" s="26"/>
      <c r="T241" s="14"/>
      <c r="U241" s="14"/>
      <c r="V241" s="14"/>
      <c r="W241" s="14"/>
      <c r="X241" s="14"/>
      <c r="Y241" s="14"/>
      <c r="Z241" s="25"/>
      <c r="AA241" s="34"/>
      <c r="AB241" s="37"/>
      <c r="AC241" s="36" t="str">
        <f t="shared" si="3"/>
        <v/>
      </c>
      <c r="AD241" s="9"/>
      <c r="AE241" s="9"/>
      <c r="AF241" s="9"/>
      <c r="AG241" s="9"/>
      <c r="AH241" s="9"/>
      <c r="AI241" s="26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4"/>
      <c r="DF241" s="14"/>
      <c r="DG241" s="14"/>
      <c r="DH241" s="14"/>
      <c r="DI241" s="14"/>
      <c r="DJ241" s="14"/>
    </row>
    <row r="242" spans="4:114" x14ac:dyDescent="0.25">
      <c r="D242" s="14"/>
      <c r="E242" s="15"/>
      <c r="F242" s="14"/>
      <c r="G242" s="14"/>
      <c r="H242" s="14"/>
      <c r="I242" s="14"/>
      <c r="J242" s="14"/>
      <c r="K242" s="25"/>
      <c r="L242" s="34"/>
      <c r="M242" s="34"/>
      <c r="N242" s="9"/>
      <c r="O242" s="9"/>
      <c r="P242" s="9"/>
      <c r="Q242" s="9"/>
      <c r="R242" s="9"/>
      <c r="S242" s="26"/>
      <c r="T242" s="14"/>
      <c r="U242" s="14"/>
      <c r="V242" s="14"/>
      <c r="W242" s="14"/>
      <c r="X242" s="14"/>
      <c r="Y242" s="14"/>
      <c r="Z242" s="25"/>
      <c r="AA242" s="34"/>
      <c r="AB242" s="37"/>
      <c r="AC242" s="36" t="str">
        <f t="shared" si="3"/>
        <v/>
      </c>
      <c r="AD242" s="9"/>
      <c r="AE242" s="9"/>
      <c r="AF242" s="9"/>
      <c r="AG242" s="9"/>
      <c r="AH242" s="9"/>
      <c r="AI242" s="26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4"/>
      <c r="DF242" s="14"/>
      <c r="DG242" s="14"/>
      <c r="DH242" s="14"/>
      <c r="DI242" s="14"/>
      <c r="DJ242" s="14"/>
    </row>
    <row r="243" spans="4:114" x14ac:dyDescent="0.25">
      <c r="D243" s="14"/>
      <c r="E243" s="15"/>
      <c r="F243" s="14"/>
      <c r="G243" s="14"/>
      <c r="H243" s="14"/>
      <c r="I243" s="14"/>
      <c r="J243" s="14"/>
      <c r="K243" s="25"/>
      <c r="L243" s="34"/>
      <c r="M243" s="34"/>
      <c r="N243" s="9"/>
      <c r="O243" s="9"/>
      <c r="P243" s="9"/>
      <c r="Q243" s="9"/>
      <c r="R243" s="9"/>
      <c r="S243" s="26"/>
      <c r="T243" s="14"/>
      <c r="U243" s="14"/>
      <c r="V243" s="14"/>
      <c r="W243" s="14"/>
      <c r="X243" s="14"/>
      <c r="Y243" s="14"/>
      <c r="Z243" s="25"/>
      <c r="AA243" s="34"/>
      <c r="AB243" s="37"/>
      <c r="AC243" s="36" t="str">
        <f t="shared" si="3"/>
        <v/>
      </c>
      <c r="AD243" s="9"/>
      <c r="AE243" s="9"/>
      <c r="AF243" s="9"/>
      <c r="AG243" s="9"/>
      <c r="AH243" s="9"/>
      <c r="AI243" s="26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4"/>
      <c r="DF243" s="14"/>
      <c r="DG243" s="14"/>
      <c r="DH243" s="14"/>
      <c r="DI243" s="14"/>
      <c r="DJ243" s="14"/>
    </row>
    <row r="244" spans="4:114" x14ac:dyDescent="0.25">
      <c r="D244" s="14"/>
      <c r="E244" s="15"/>
      <c r="F244" s="14"/>
      <c r="G244" s="14"/>
      <c r="H244" s="14"/>
      <c r="I244" s="14"/>
      <c r="J244" s="14"/>
      <c r="K244" s="25"/>
      <c r="L244" s="34"/>
      <c r="M244" s="34"/>
      <c r="N244" s="9"/>
      <c r="O244" s="9"/>
      <c r="P244" s="9"/>
      <c r="Q244" s="9"/>
      <c r="R244" s="9"/>
      <c r="S244" s="26"/>
      <c r="T244" s="14"/>
      <c r="U244" s="14"/>
      <c r="V244" s="14"/>
      <c r="W244" s="14"/>
      <c r="X244" s="14"/>
      <c r="Y244" s="14"/>
      <c r="Z244" s="25"/>
      <c r="AA244" s="34"/>
      <c r="AB244" s="37"/>
      <c r="AC244" s="36" t="str">
        <f t="shared" si="3"/>
        <v/>
      </c>
      <c r="AD244" s="9"/>
      <c r="AE244" s="9"/>
      <c r="AF244" s="9"/>
      <c r="AG244" s="9"/>
      <c r="AH244" s="9"/>
      <c r="AI244" s="26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4"/>
      <c r="DF244" s="14"/>
      <c r="DG244" s="14"/>
      <c r="DH244" s="14"/>
      <c r="DI244" s="14"/>
      <c r="DJ244" s="14"/>
    </row>
    <row r="245" spans="4:114" x14ac:dyDescent="0.25">
      <c r="D245" s="14"/>
      <c r="E245" s="15"/>
      <c r="F245" s="14"/>
      <c r="G245" s="14"/>
      <c r="H245" s="14"/>
      <c r="I245" s="14"/>
      <c r="J245" s="14"/>
      <c r="K245" s="25"/>
      <c r="L245" s="34"/>
      <c r="M245" s="34"/>
      <c r="N245" s="9"/>
      <c r="O245" s="9"/>
      <c r="P245" s="9"/>
      <c r="Q245" s="9"/>
      <c r="R245" s="9"/>
      <c r="S245" s="26"/>
      <c r="T245" s="14"/>
      <c r="U245" s="14"/>
      <c r="V245" s="14"/>
      <c r="W245" s="14"/>
      <c r="X245" s="14"/>
      <c r="Y245" s="14"/>
      <c r="Z245" s="25"/>
      <c r="AA245" s="34"/>
      <c r="AB245" s="37"/>
      <c r="AC245" s="36" t="str">
        <f t="shared" si="3"/>
        <v/>
      </c>
      <c r="AD245" s="9"/>
      <c r="AE245" s="9"/>
      <c r="AF245" s="9"/>
      <c r="AG245" s="9"/>
      <c r="AH245" s="9"/>
      <c r="AI245" s="26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4"/>
      <c r="DF245" s="14"/>
      <c r="DG245" s="14"/>
      <c r="DH245" s="14"/>
      <c r="DI245" s="14"/>
      <c r="DJ245" s="14"/>
    </row>
    <row r="246" spans="4:114" x14ac:dyDescent="0.25">
      <c r="D246" s="14"/>
      <c r="E246" s="15"/>
      <c r="F246" s="14"/>
      <c r="G246" s="14"/>
      <c r="H246" s="14"/>
      <c r="I246" s="14"/>
      <c r="J246" s="14"/>
      <c r="K246" s="25"/>
      <c r="L246" s="34"/>
      <c r="M246" s="34"/>
      <c r="N246" s="9"/>
      <c r="O246" s="9"/>
      <c r="P246" s="9"/>
      <c r="Q246" s="9"/>
      <c r="R246" s="9"/>
      <c r="S246" s="26"/>
      <c r="T246" s="14"/>
      <c r="U246" s="14"/>
      <c r="V246" s="14"/>
      <c r="W246" s="14"/>
      <c r="X246" s="14"/>
      <c r="Y246" s="14"/>
      <c r="Z246" s="25"/>
      <c r="AA246" s="34"/>
      <c r="AB246" s="37"/>
      <c r="AC246" s="36" t="str">
        <f t="shared" si="3"/>
        <v/>
      </c>
      <c r="AD246" s="9"/>
      <c r="AE246" s="9"/>
      <c r="AF246" s="9"/>
      <c r="AG246" s="9"/>
      <c r="AH246" s="9"/>
      <c r="AI246" s="26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4"/>
      <c r="DF246" s="14"/>
      <c r="DG246" s="14"/>
      <c r="DH246" s="14"/>
      <c r="DI246" s="14"/>
      <c r="DJ246" s="14"/>
    </row>
    <row r="247" spans="4:114" x14ac:dyDescent="0.25">
      <c r="D247" s="14"/>
      <c r="E247" s="15"/>
      <c r="F247" s="14"/>
      <c r="G247" s="14"/>
      <c r="H247" s="14"/>
      <c r="I247" s="14"/>
      <c r="J247" s="14"/>
      <c r="K247" s="25"/>
      <c r="L247" s="34"/>
      <c r="M247" s="34"/>
      <c r="N247" s="9"/>
      <c r="O247" s="9"/>
      <c r="P247" s="9"/>
      <c r="Q247" s="9"/>
      <c r="R247" s="9"/>
      <c r="S247" s="26"/>
      <c r="T247" s="14"/>
      <c r="U247" s="14"/>
      <c r="V247" s="14"/>
      <c r="W247" s="14"/>
      <c r="X247" s="14"/>
      <c r="Y247" s="14"/>
      <c r="Z247" s="25"/>
      <c r="AA247" s="34"/>
      <c r="AB247" s="37"/>
      <c r="AC247" s="36" t="str">
        <f t="shared" si="3"/>
        <v/>
      </c>
      <c r="AD247" s="9"/>
      <c r="AE247" s="9"/>
      <c r="AF247" s="9"/>
      <c r="AG247" s="9"/>
      <c r="AH247" s="9"/>
      <c r="AI247" s="26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4"/>
      <c r="DF247" s="14"/>
      <c r="DG247" s="14"/>
      <c r="DH247" s="14"/>
      <c r="DI247" s="14"/>
      <c r="DJ247" s="14"/>
    </row>
    <row r="248" spans="4:114" x14ac:dyDescent="0.25">
      <c r="D248" s="14"/>
      <c r="E248" s="15"/>
      <c r="F248" s="14"/>
      <c r="G248" s="14"/>
      <c r="H248" s="14"/>
      <c r="I248" s="14"/>
      <c r="J248" s="14"/>
      <c r="K248" s="25"/>
      <c r="L248" s="34"/>
      <c r="M248" s="34"/>
      <c r="N248" s="9"/>
      <c r="O248" s="9"/>
      <c r="P248" s="9"/>
      <c r="Q248" s="9"/>
      <c r="R248" s="9"/>
      <c r="S248" s="26"/>
      <c r="T248" s="14"/>
      <c r="U248" s="14"/>
      <c r="V248" s="14"/>
      <c r="W248" s="14"/>
      <c r="X248" s="14"/>
      <c r="Y248" s="14"/>
      <c r="Z248" s="25"/>
      <c r="AA248" s="34"/>
      <c r="AB248" s="37"/>
      <c r="AC248" s="36" t="str">
        <f t="shared" si="3"/>
        <v/>
      </c>
      <c r="AD248" s="9"/>
      <c r="AE248" s="9"/>
      <c r="AF248" s="9"/>
      <c r="AG248" s="9"/>
      <c r="AH248" s="9"/>
      <c r="AI248" s="26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4"/>
      <c r="DF248" s="14"/>
      <c r="DG248" s="14"/>
      <c r="DH248" s="14"/>
      <c r="DI248" s="14"/>
      <c r="DJ248" s="14"/>
    </row>
    <row r="249" spans="4:114" x14ac:dyDescent="0.25">
      <c r="D249" s="14"/>
      <c r="E249" s="15"/>
      <c r="F249" s="14"/>
      <c r="G249" s="14"/>
      <c r="H249" s="14"/>
      <c r="I249" s="14"/>
      <c r="J249" s="14"/>
      <c r="K249" s="25"/>
      <c r="L249" s="34"/>
      <c r="M249" s="34"/>
      <c r="N249" s="9"/>
      <c r="O249" s="9"/>
      <c r="P249" s="9"/>
      <c r="Q249" s="9"/>
      <c r="R249" s="9"/>
      <c r="S249" s="26"/>
      <c r="T249" s="14"/>
      <c r="U249" s="14"/>
      <c r="V249" s="14"/>
      <c r="W249" s="14"/>
      <c r="X249" s="14"/>
      <c r="Y249" s="14"/>
      <c r="Z249" s="25"/>
      <c r="AA249" s="34"/>
      <c r="AB249" s="37"/>
      <c r="AC249" s="36" t="str">
        <f t="shared" si="3"/>
        <v/>
      </c>
      <c r="AD249" s="9"/>
      <c r="AE249" s="9"/>
      <c r="AF249" s="9"/>
      <c r="AG249" s="9"/>
      <c r="AH249" s="9"/>
      <c r="AI249" s="26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4"/>
      <c r="DF249" s="14"/>
      <c r="DG249" s="14"/>
      <c r="DH249" s="14"/>
      <c r="DI249" s="14"/>
      <c r="DJ249" s="14"/>
    </row>
    <row r="250" spans="4:114" x14ac:dyDescent="0.25">
      <c r="D250" s="14"/>
      <c r="E250" s="15"/>
      <c r="F250" s="14"/>
      <c r="G250" s="14"/>
      <c r="H250" s="14"/>
      <c r="I250" s="14"/>
      <c r="J250" s="14"/>
      <c r="K250" s="25"/>
      <c r="L250" s="34"/>
      <c r="M250" s="34"/>
      <c r="N250" s="9"/>
      <c r="O250" s="9"/>
      <c r="P250" s="9"/>
      <c r="Q250" s="9"/>
      <c r="R250" s="9"/>
      <c r="S250" s="26"/>
      <c r="T250" s="14"/>
      <c r="U250" s="14"/>
      <c r="V250" s="14"/>
      <c r="W250" s="14"/>
      <c r="X250" s="14"/>
      <c r="Y250" s="14"/>
      <c r="Z250" s="25"/>
      <c r="AA250" s="34"/>
      <c r="AB250" s="37"/>
      <c r="AC250" s="36" t="str">
        <f t="shared" si="3"/>
        <v/>
      </c>
      <c r="AD250" s="9"/>
      <c r="AE250" s="9"/>
      <c r="AF250" s="9"/>
      <c r="AG250" s="9"/>
      <c r="AH250" s="9"/>
      <c r="AI250" s="26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4"/>
      <c r="DF250" s="14"/>
      <c r="DG250" s="14"/>
      <c r="DH250" s="14"/>
      <c r="DI250" s="14"/>
      <c r="DJ250" s="14"/>
    </row>
    <row r="251" spans="4:114" x14ac:dyDescent="0.25">
      <c r="D251" s="14"/>
      <c r="E251" s="15"/>
      <c r="F251" s="14"/>
      <c r="G251" s="14"/>
      <c r="H251" s="14"/>
      <c r="I251" s="14"/>
      <c r="J251" s="14"/>
      <c r="K251" s="25"/>
      <c r="L251" s="34"/>
      <c r="M251" s="34"/>
      <c r="N251" s="9"/>
      <c r="O251" s="9"/>
      <c r="P251" s="9"/>
      <c r="Q251" s="9"/>
      <c r="R251" s="9"/>
      <c r="S251" s="26"/>
      <c r="T251" s="14"/>
      <c r="U251" s="14"/>
      <c r="V251" s="14"/>
      <c r="W251" s="14"/>
      <c r="X251" s="14"/>
      <c r="Y251" s="14"/>
      <c r="Z251" s="25"/>
      <c r="AA251" s="34"/>
      <c r="AB251" s="37"/>
      <c r="AC251" s="36" t="str">
        <f t="shared" si="3"/>
        <v/>
      </c>
      <c r="AD251" s="9"/>
      <c r="AE251" s="9"/>
      <c r="AF251" s="9"/>
      <c r="AG251" s="9"/>
      <c r="AH251" s="9"/>
      <c r="AI251" s="26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4"/>
      <c r="DF251" s="14"/>
      <c r="DG251" s="14"/>
      <c r="DH251" s="14"/>
      <c r="DI251" s="14"/>
      <c r="DJ251" s="14"/>
    </row>
    <row r="252" spans="4:114" x14ac:dyDescent="0.25">
      <c r="D252" s="14"/>
      <c r="E252" s="15"/>
      <c r="F252" s="14"/>
      <c r="G252" s="14"/>
      <c r="H252" s="14"/>
      <c r="I252" s="14"/>
      <c r="J252" s="14"/>
      <c r="K252" s="25"/>
      <c r="L252" s="34"/>
      <c r="M252" s="34"/>
      <c r="N252" s="9"/>
      <c r="O252" s="9"/>
      <c r="P252" s="9"/>
      <c r="Q252" s="9"/>
      <c r="R252" s="9"/>
      <c r="S252" s="26"/>
      <c r="T252" s="14"/>
      <c r="U252" s="14"/>
      <c r="V252" s="14"/>
      <c r="W252" s="14"/>
      <c r="X252" s="14"/>
      <c r="Y252" s="14"/>
      <c r="Z252" s="25"/>
      <c r="AA252" s="34"/>
      <c r="AB252" s="37"/>
      <c r="AC252" s="36" t="str">
        <f t="shared" si="3"/>
        <v/>
      </c>
      <c r="AD252" s="9"/>
      <c r="AE252" s="9"/>
      <c r="AF252" s="9"/>
      <c r="AG252" s="9"/>
      <c r="AH252" s="9"/>
      <c r="AI252" s="26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4"/>
      <c r="DF252" s="14"/>
      <c r="DG252" s="14"/>
      <c r="DH252" s="14"/>
      <c r="DI252" s="14"/>
      <c r="DJ252" s="14"/>
    </row>
    <row r="253" spans="4:114" x14ac:dyDescent="0.25">
      <c r="D253" s="14"/>
      <c r="E253" s="15"/>
      <c r="F253" s="14"/>
      <c r="G253" s="14"/>
      <c r="H253" s="14"/>
      <c r="I253" s="14"/>
      <c r="J253" s="14"/>
      <c r="K253" s="25"/>
      <c r="L253" s="34"/>
      <c r="M253" s="34"/>
      <c r="N253" s="9"/>
      <c r="O253" s="9"/>
      <c r="P253" s="9"/>
      <c r="Q253" s="9"/>
      <c r="R253" s="9"/>
      <c r="S253" s="26"/>
      <c r="T253" s="14"/>
      <c r="U253" s="14"/>
      <c r="V253" s="14"/>
      <c r="W253" s="14"/>
      <c r="X253" s="14"/>
      <c r="Y253" s="14"/>
      <c r="Z253" s="25"/>
      <c r="AA253" s="34"/>
      <c r="AB253" s="37"/>
      <c r="AC253" s="36" t="str">
        <f t="shared" si="3"/>
        <v/>
      </c>
      <c r="AD253" s="9"/>
      <c r="AE253" s="9"/>
      <c r="AF253" s="9"/>
      <c r="AG253" s="9"/>
      <c r="AH253" s="9"/>
      <c r="AI253" s="26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4"/>
      <c r="DF253" s="14"/>
      <c r="DG253" s="14"/>
      <c r="DH253" s="14"/>
      <c r="DI253" s="14"/>
      <c r="DJ253" s="14"/>
    </row>
    <row r="254" spans="4:114" x14ac:dyDescent="0.25">
      <c r="D254" s="14"/>
      <c r="E254" s="15"/>
      <c r="F254" s="14"/>
      <c r="G254" s="14"/>
      <c r="H254" s="14"/>
      <c r="I254" s="14"/>
      <c r="J254" s="14"/>
      <c r="K254" s="25"/>
      <c r="L254" s="34"/>
      <c r="M254" s="34"/>
      <c r="N254" s="9"/>
      <c r="O254" s="9"/>
      <c r="P254" s="9"/>
      <c r="Q254" s="9"/>
      <c r="R254" s="9"/>
      <c r="S254" s="26"/>
      <c r="T254" s="14"/>
      <c r="U254" s="14"/>
      <c r="V254" s="14"/>
      <c r="W254" s="14"/>
      <c r="X254" s="14"/>
      <c r="Y254" s="14"/>
      <c r="Z254" s="25"/>
      <c r="AA254" s="34"/>
      <c r="AB254" s="37"/>
      <c r="AC254" s="36" t="str">
        <f t="shared" si="3"/>
        <v/>
      </c>
      <c r="AD254" s="9"/>
      <c r="AE254" s="9"/>
      <c r="AF254" s="9"/>
      <c r="AG254" s="9"/>
      <c r="AH254" s="9"/>
      <c r="AI254" s="26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4"/>
      <c r="DF254" s="14"/>
      <c r="DG254" s="14"/>
      <c r="DH254" s="14"/>
      <c r="DI254" s="14"/>
      <c r="DJ254" s="14"/>
    </row>
    <row r="255" spans="4:114" x14ac:dyDescent="0.25">
      <c r="D255" s="14"/>
      <c r="E255" s="15"/>
      <c r="F255" s="14"/>
      <c r="G255" s="14"/>
      <c r="H255" s="14"/>
      <c r="I255" s="14"/>
      <c r="J255" s="14"/>
      <c r="K255" s="25"/>
      <c r="L255" s="34"/>
      <c r="M255" s="34"/>
      <c r="N255" s="9"/>
      <c r="O255" s="9"/>
      <c r="P255" s="9"/>
      <c r="Q255" s="9"/>
      <c r="R255" s="9"/>
      <c r="S255" s="26"/>
      <c r="T255" s="14"/>
      <c r="U255" s="14"/>
      <c r="V255" s="14"/>
      <c r="W255" s="14"/>
      <c r="X255" s="14"/>
      <c r="Y255" s="14"/>
      <c r="Z255" s="25"/>
      <c r="AA255" s="34"/>
      <c r="AB255" s="37"/>
      <c r="AC255" s="36" t="str">
        <f t="shared" si="3"/>
        <v/>
      </c>
      <c r="AD255" s="9"/>
      <c r="AE255" s="9"/>
      <c r="AF255" s="9"/>
      <c r="AG255" s="9"/>
      <c r="AH255" s="9"/>
      <c r="AI255" s="26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4"/>
      <c r="DF255" s="14"/>
      <c r="DG255" s="14"/>
      <c r="DH255" s="14"/>
      <c r="DI255" s="14"/>
      <c r="DJ255" s="14"/>
    </row>
    <row r="256" spans="4:114" x14ac:dyDescent="0.25">
      <c r="D256" s="14"/>
      <c r="E256" s="15"/>
      <c r="F256" s="14"/>
      <c r="G256" s="14"/>
      <c r="H256" s="14"/>
      <c r="I256" s="14"/>
      <c r="J256" s="14"/>
      <c r="K256" s="25"/>
      <c r="L256" s="34"/>
      <c r="M256" s="34"/>
      <c r="N256" s="9"/>
      <c r="O256" s="9"/>
      <c r="P256" s="9"/>
      <c r="Q256" s="9"/>
      <c r="R256" s="9"/>
      <c r="S256" s="26"/>
      <c r="T256" s="14"/>
      <c r="U256" s="14"/>
      <c r="V256" s="14"/>
      <c r="W256" s="14"/>
      <c r="X256" s="14"/>
      <c r="Y256" s="14"/>
      <c r="Z256" s="25"/>
      <c r="AA256" s="34"/>
      <c r="AB256" s="37"/>
      <c r="AC256" s="36" t="str">
        <f t="shared" si="3"/>
        <v/>
      </c>
      <c r="AD256" s="9"/>
      <c r="AE256" s="9"/>
      <c r="AF256" s="9"/>
      <c r="AG256" s="9"/>
      <c r="AH256" s="9"/>
      <c r="AI256" s="26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4"/>
      <c r="DF256" s="14"/>
      <c r="DG256" s="14"/>
      <c r="DH256" s="14"/>
      <c r="DI256" s="14"/>
      <c r="DJ256" s="14"/>
    </row>
    <row r="257" spans="4:114" x14ac:dyDescent="0.25">
      <c r="D257" s="14"/>
      <c r="E257" s="15"/>
      <c r="F257" s="14"/>
      <c r="G257" s="14"/>
      <c r="H257" s="14"/>
      <c r="I257" s="14"/>
      <c r="J257" s="14"/>
      <c r="K257" s="25"/>
      <c r="L257" s="34"/>
      <c r="M257" s="34"/>
      <c r="N257" s="9"/>
      <c r="O257" s="9"/>
      <c r="P257" s="9"/>
      <c r="Q257" s="9"/>
      <c r="R257" s="9"/>
      <c r="S257" s="26"/>
      <c r="T257" s="14"/>
      <c r="U257" s="14"/>
      <c r="V257" s="14"/>
      <c r="W257" s="14"/>
      <c r="X257" s="14"/>
      <c r="Y257" s="14"/>
      <c r="Z257" s="25"/>
      <c r="AA257" s="34"/>
      <c r="AB257" s="37"/>
      <c r="AC257" s="36" t="str">
        <f t="shared" si="3"/>
        <v/>
      </c>
      <c r="AD257" s="9"/>
      <c r="AE257" s="9"/>
      <c r="AF257" s="9"/>
      <c r="AG257" s="9"/>
      <c r="AH257" s="9"/>
      <c r="AI257" s="26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4"/>
      <c r="DF257" s="14"/>
      <c r="DG257" s="14"/>
      <c r="DH257" s="14"/>
      <c r="DI257" s="14"/>
      <c r="DJ257" s="14"/>
    </row>
    <row r="258" spans="4:114" x14ac:dyDescent="0.25">
      <c r="D258" s="14"/>
      <c r="E258" s="15"/>
      <c r="F258" s="14"/>
      <c r="G258" s="14"/>
      <c r="H258" s="14"/>
      <c r="I258" s="14"/>
      <c r="J258" s="14"/>
      <c r="K258" s="25"/>
      <c r="L258" s="34"/>
      <c r="M258" s="34"/>
      <c r="N258" s="9"/>
      <c r="O258" s="9"/>
      <c r="P258" s="9"/>
      <c r="Q258" s="9"/>
      <c r="R258" s="9"/>
      <c r="S258" s="26"/>
      <c r="T258" s="14"/>
      <c r="U258" s="14"/>
      <c r="V258" s="14"/>
      <c r="W258" s="14"/>
      <c r="X258" s="14"/>
      <c r="Y258" s="14"/>
      <c r="Z258" s="25"/>
      <c r="AA258" s="34"/>
      <c r="AB258" s="37"/>
      <c r="AC258" s="36" t="str">
        <f t="shared" si="3"/>
        <v/>
      </c>
      <c r="AD258" s="9"/>
      <c r="AE258" s="9"/>
      <c r="AF258" s="9"/>
      <c r="AG258" s="9"/>
      <c r="AH258" s="9"/>
      <c r="AI258" s="26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4"/>
      <c r="DF258" s="14"/>
      <c r="DG258" s="14"/>
      <c r="DH258" s="14"/>
      <c r="DI258" s="14"/>
      <c r="DJ258" s="14"/>
    </row>
    <row r="259" spans="4:114" x14ac:dyDescent="0.25">
      <c r="D259" s="14"/>
      <c r="E259" s="15"/>
      <c r="F259" s="14"/>
      <c r="G259" s="14"/>
      <c r="H259" s="14"/>
      <c r="I259" s="14"/>
      <c r="J259" s="14"/>
      <c r="K259" s="25"/>
      <c r="L259" s="34"/>
      <c r="M259" s="34"/>
      <c r="N259" s="9"/>
      <c r="O259" s="9"/>
      <c r="P259" s="9"/>
      <c r="Q259" s="9"/>
      <c r="R259" s="9"/>
      <c r="S259" s="26"/>
      <c r="T259" s="14"/>
      <c r="U259" s="14"/>
      <c r="V259" s="14"/>
      <c r="W259" s="14"/>
      <c r="X259" s="14"/>
      <c r="Y259" s="14"/>
      <c r="Z259" s="25"/>
      <c r="AA259" s="34"/>
      <c r="AB259" s="37"/>
      <c r="AC259" s="36" t="str">
        <f t="shared" si="3"/>
        <v/>
      </c>
      <c r="AD259" s="9"/>
      <c r="AE259" s="9"/>
      <c r="AF259" s="9"/>
      <c r="AG259" s="9"/>
      <c r="AH259" s="9"/>
      <c r="AI259" s="26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4"/>
      <c r="DF259" s="14"/>
      <c r="DG259" s="14"/>
      <c r="DH259" s="14"/>
      <c r="DI259" s="14"/>
      <c r="DJ259" s="14"/>
    </row>
    <row r="260" spans="4:114" x14ac:dyDescent="0.25">
      <c r="D260" s="14"/>
      <c r="E260" s="15"/>
      <c r="F260" s="14"/>
      <c r="G260" s="14"/>
      <c r="H260" s="14"/>
      <c r="I260" s="14"/>
      <c r="J260" s="14"/>
      <c r="K260" s="25"/>
      <c r="L260" s="34"/>
      <c r="M260" s="34"/>
      <c r="N260" s="9"/>
      <c r="O260" s="9"/>
      <c r="P260" s="9"/>
      <c r="Q260" s="9"/>
      <c r="R260" s="9"/>
      <c r="S260" s="26"/>
      <c r="T260" s="14"/>
      <c r="U260" s="14"/>
      <c r="V260" s="14"/>
      <c r="W260" s="14"/>
      <c r="X260" s="14"/>
      <c r="Y260" s="14"/>
      <c r="Z260" s="25"/>
      <c r="AA260" s="34"/>
      <c r="AB260" s="37"/>
      <c r="AC260" s="36" t="str">
        <f t="shared" si="3"/>
        <v/>
      </c>
      <c r="AD260" s="9"/>
      <c r="AE260" s="9"/>
      <c r="AF260" s="9"/>
      <c r="AG260" s="9"/>
      <c r="AH260" s="9"/>
      <c r="AI260" s="26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4"/>
      <c r="DF260" s="14"/>
      <c r="DG260" s="14"/>
      <c r="DH260" s="14"/>
      <c r="DI260" s="14"/>
      <c r="DJ260" s="14"/>
    </row>
    <row r="261" spans="4:114" x14ac:dyDescent="0.25">
      <c r="D261" s="14"/>
      <c r="E261" s="15"/>
      <c r="F261" s="14"/>
      <c r="G261" s="14"/>
      <c r="H261" s="14"/>
      <c r="I261" s="14"/>
      <c r="J261" s="14"/>
      <c r="K261" s="25"/>
      <c r="L261" s="34"/>
      <c r="M261" s="34"/>
      <c r="N261" s="9"/>
      <c r="O261" s="9"/>
      <c r="P261" s="9"/>
      <c r="Q261" s="9"/>
      <c r="R261" s="9"/>
      <c r="S261" s="26"/>
      <c r="T261" s="14"/>
      <c r="U261" s="14"/>
      <c r="V261" s="14"/>
      <c r="W261" s="14"/>
      <c r="X261" s="14"/>
      <c r="Y261" s="14"/>
      <c r="Z261" s="25"/>
      <c r="AA261" s="34"/>
      <c r="AB261" s="37"/>
      <c r="AC261" s="36" t="str">
        <f t="shared" si="3"/>
        <v/>
      </c>
      <c r="AD261" s="9"/>
      <c r="AE261" s="9"/>
      <c r="AF261" s="9"/>
      <c r="AG261" s="9"/>
      <c r="AH261" s="9"/>
      <c r="AI261" s="26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4"/>
      <c r="DF261" s="14"/>
      <c r="DG261" s="14"/>
      <c r="DH261" s="14"/>
      <c r="DI261" s="14"/>
      <c r="DJ261" s="14"/>
    </row>
    <row r="262" spans="4:114" x14ac:dyDescent="0.25">
      <c r="D262" s="14"/>
      <c r="E262" s="15"/>
      <c r="F262" s="14"/>
      <c r="G262" s="14"/>
      <c r="H262" s="14"/>
      <c r="I262" s="14"/>
      <c r="J262" s="14"/>
      <c r="K262" s="25"/>
      <c r="L262" s="34"/>
      <c r="M262" s="34"/>
      <c r="N262" s="9"/>
      <c r="O262" s="9"/>
      <c r="P262" s="9"/>
      <c r="Q262" s="9"/>
      <c r="R262" s="9"/>
      <c r="S262" s="26"/>
      <c r="T262" s="14"/>
      <c r="U262" s="14"/>
      <c r="V262" s="14"/>
      <c r="W262" s="14"/>
      <c r="X262" s="14"/>
      <c r="Y262" s="14"/>
      <c r="Z262" s="25"/>
      <c r="AA262" s="34"/>
      <c r="AB262" s="37"/>
      <c r="AC262" s="36" t="str">
        <f t="shared" si="3"/>
        <v/>
      </c>
      <c r="AD262" s="9"/>
      <c r="AE262" s="9"/>
      <c r="AF262" s="9"/>
      <c r="AG262" s="9"/>
      <c r="AH262" s="9"/>
      <c r="AI262" s="26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4"/>
      <c r="DF262" s="14"/>
      <c r="DG262" s="14"/>
      <c r="DH262" s="14"/>
      <c r="DI262" s="14"/>
      <c r="DJ262" s="14"/>
    </row>
    <row r="263" spans="4:114" x14ac:dyDescent="0.25">
      <c r="D263" s="14"/>
      <c r="E263" s="15"/>
      <c r="F263" s="14"/>
      <c r="G263" s="14"/>
      <c r="H263" s="14"/>
      <c r="I263" s="14"/>
      <c r="J263" s="14"/>
      <c r="K263" s="25"/>
      <c r="L263" s="34"/>
      <c r="M263" s="34"/>
      <c r="N263" s="9"/>
      <c r="O263" s="9"/>
      <c r="P263" s="9"/>
      <c r="Q263" s="9"/>
      <c r="R263" s="9"/>
      <c r="S263" s="26"/>
      <c r="T263" s="14"/>
      <c r="U263" s="14"/>
      <c r="V263" s="14"/>
      <c r="W263" s="14"/>
      <c r="X263" s="14"/>
      <c r="Y263" s="14"/>
      <c r="Z263" s="25"/>
      <c r="AA263" s="34"/>
      <c r="AB263" s="37"/>
      <c r="AC263" s="36" t="str">
        <f t="shared" si="3"/>
        <v/>
      </c>
      <c r="AD263" s="9"/>
      <c r="AE263" s="9"/>
      <c r="AF263" s="9"/>
      <c r="AG263" s="9"/>
      <c r="AH263" s="9"/>
      <c r="AI263" s="26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4"/>
      <c r="DF263" s="14"/>
      <c r="DG263" s="14"/>
      <c r="DH263" s="14"/>
      <c r="DI263" s="14"/>
      <c r="DJ263" s="14"/>
    </row>
    <row r="264" spans="4:114" x14ac:dyDescent="0.25">
      <c r="D264" s="14"/>
      <c r="E264" s="15"/>
      <c r="F264" s="14"/>
      <c r="G264" s="14"/>
      <c r="H264" s="14"/>
      <c r="I264" s="14"/>
      <c r="J264" s="14"/>
      <c r="K264" s="25"/>
      <c r="L264" s="34"/>
      <c r="M264" s="34"/>
      <c r="N264" s="9"/>
      <c r="O264" s="9"/>
      <c r="P264" s="9"/>
      <c r="Q264" s="9"/>
      <c r="R264" s="9"/>
      <c r="S264" s="26"/>
      <c r="T264" s="14"/>
      <c r="U264" s="14"/>
      <c r="V264" s="14"/>
      <c r="W264" s="14"/>
      <c r="X264" s="14"/>
      <c r="Y264" s="14"/>
      <c r="Z264" s="25"/>
      <c r="AA264" s="34"/>
      <c r="AB264" s="37"/>
      <c r="AC264" s="36" t="str">
        <f t="shared" si="3"/>
        <v/>
      </c>
      <c r="AD264" s="9"/>
      <c r="AE264" s="9"/>
      <c r="AF264" s="9"/>
      <c r="AG264" s="9"/>
      <c r="AH264" s="9"/>
      <c r="AI264" s="26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4"/>
      <c r="DF264" s="14"/>
      <c r="DG264" s="14"/>
      <c r="DH264" s="14"/>
      <c r="DI264" s="14"/>
      <c r="DJ264" s="14"/>
    </row>
    <row r="265" spans="4:114" x14ac:dyDescent="0.25">
      <c r="D265" s="14"/>
      <c r="E265" s="15"/>
      <c r="F265" s="14"/>
      <c r="G265" s="14"/>
      <c r="H265" s="14"/>
      <c r="I265" s="14"/>
      <c r="J265" s="14"/>
      <c r="K265" s="25"/>
      <c r="L265" s="34"/>
      <c r="M265" s="34"/>
      <c r="N265" s="9"/>
      <c r="O265" s="9"/>
      <c r="P265" s="9"/>
      <c r="Q265" s="9"/>
      <c r="R265" s="9"/>
      <c r="S265" s="26"/>
      <c r="T265" s="14"/>
      <c r="U265" s="14"/>
      <c r="V265" s="14"/>
      <c r="W265" s="14"/>
      <c r="X265" s="14"/>
      <c r="Y265" s="14"/>
      <c r="Z265" s="25"/>
      <c r="AA265" s="34"/>
      <c r="AB265" s="37"/>
      <c r="AC265" s="36" t="str">
        <f t="shared" si="3"/>
        <v/>
      </c>
      <c r="AD265" s="9"/>
      <c r="AE265" s="9"/>
      <c r="AF265" s="9"/>
      <c r="AG265" s="9"/>
      <c r="AH265" s="9"/>
      <c r="AI265" s="26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4"/>
      <c r="DF265" s="14"/>
      <c r="DG265" s="14"/>
      <c r="DH265" s="14"/>
      <c r="DI265" s="14"/>
      <c r="DJ265" s="14"/>
    </row>
    <row r="266" spans="4:114" x14ac:dyDescent="0.25">
      <c r="D266" s="14"/>
      <c r="E266" s="15"/>
      <c r="F266" s="14"/>
      <c r="G266" s="14"/>
      <c r="H266" s="14"/>
      <c r="I266" s="14"/>
      <c r="J266" s="14"/>
      <c r="K266" s="25"/>
      <c r="L266" s="34"/>
      <c r="M266" s="34"/>
      <c r="N266" s="9"/>
      <c r="O266" s="9"/>
      <c r="P266" s="9"/>
      <c r="Q266" s="9"/>
      <c r="R266" s="9"/>
      <c r="S266" s="26"/>
      <c r="T266" s="14"/>
      <c r="U266" s="14"/>
      <c r="V266" s="14"/>
      <c r="W266" s="14"/>
      <c r="X266" s="14"/>
      <c r="Y266" s="14"/>
      <c r="Z266" s="25"/>
      <c r="AA266" s="34"/>
      <c r="AB266" s="37"/>
      <c r="AC266" s="36" t="str">
        <f t="shared" si="3"/>
        <v/>
      </c>
      <c r="AD266" s="9"/>
      <c r="AE266" s="9"/>
      <c r="AF266" s="9"/>
      <c r="AG266" s="9"/>
      <c r="AH266" s="9"/>
      <c r="AI266" s="26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4"/>
      <c r="DF266" s="14"/>
      <c r="DG266" s="14"/>
      <c r="DH266" s="14"/>
      <c r="DI266" s="14"/>
      <c r="DJ266" s="14"/>
    </row>
    <row r="267" spans="4:114" x14ac:dyDescent="0.25">
      <c r="D267" s="14"/>
      <c r="E267" s="15"/>
      <c r="F267" s="14"/>
      <c r="G267" s="14"/>
      <c r="H267" s="14"/>
      <c r="I267" s="14"/>
      <c r="J267" s="14"/>
      <c r="K267" s="25"/>
      <c r="L267" s="34"/>
      <c r="M267" s="34"/>
      <c r="N267" s="9"/>
      <c r="O267" s="9"/>
      <c r="P267" s="9"/>
      <c r="Q267" s="9"/>
      <c r="R267" s="9"/>
      <c r="S267" s="26"/>
      <c r="T267" s="14"/>
      <c r="U267" s="14"/>
      <c r="V267" s="14"/>
      <c r="W267" s="14"/>
      <c r="X267" s="14"/>
      <c r="Y267" s="14"/>
      <c r="Z267" s="25"/>
      <c r="AA267" s="34"/>
      <c r="AB267" s="37"/>
      <c r="AC267" s="36" t="str">
        <f t="shared" si="3"/>
        <v/>
      </c>
      <c r="AD267" s="9"/>
      <c r="AE267" s="9"/>
      <c r="AF267" s="9"/>
      <c r="AG267" s="9"/>
      <c r="AH267" s="9"/>
      <c r="AI267" s="26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4"/>
      <c r="DF267" s="14"/>
      <c r="DG267" s="14"/>
      <c r="DH267" s="14"/>
      <c r="DI267" s="14"/>
      <c r="DJ267" s="14"/>
    </row>
    <row r="268" spans="4:114" x14ac:dyDescent="0.25">
      <c r="D268" s="14"/>
      <c r="E268" s="15"/>
      <c r="F268" s="14"/>
      <c r="G268" s="14"/>
      <c r="H268" s="14"/>
      <c r="I268" s="14"/>
      <c r="J268" s="14"/>
      <c r="K268" s="25"/>
      <c r="L268" s="34"/>
      <c r="M268" s="34"/>
      <c r="N268" s="9"/>
      <c r="O268" s="9"/>
      <c r="P268" s="9"/>
      <c r="Q268" s="9"/>
      <c r="R268" s="9"/>
      <c r="S268" s="26"/>
      <c r="T268" s="14"/>
      <c r="U268" s="14"/>
      <c r="V268" s="14"/>
      <c r="W268" s="14"/>
      <c r="X268" s="14"/>
      <c r="Y268" s="14"/>
      <c r="Z268" s="25"/>
      <c r="AA268" s="34"/>
      <c r="AB268" s="37"/>
      <c r="AC268" s="36" t="str">
        <f t="shared" si="3"/>
        <v/>
      </c>
      <c r="AD268" s="9"/>
      <c r="AE268" s="9"/>
      <c r="AF268" s="9"/>
      <c r="AG268" s="9"/>
      <c r="AH268" s="9"/>
      <c r="AI268" s="26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4"/>
      <c r="DF268" s="14"/>
      <c r="DG268" s="14"/>
      <c r="DH268" s="14"/>
      <c r="DI268" s="14"/>
      <c r="DJ268" s="14"/>
    </row>
    <row r="269" spans="4:114" x14ac:dyDescent="0.25">
      <c r="D269" s="14"/>
      <c r="E269" s="15"/>
      <c r="F269" s="14"/>
      <c r="G269" s="14"/>
      <c r="H269" s="14"/>
      <c r="I269" s="14"/>
      <c r="J269" s="14"/>
      <c r="K269" s="25"/>
      <c r="L269" s="34"/>
      <c r="M269" s="34"/>
      <c r="N269" s="9"/>
      <c r="O269" s="9"/>
      <c r="P269" s="9"/>
      <c r="Q269" s="9"/>
      <c r="R269" s="9"/>
      <c r="S269" s="26"/>
      <c r="T269" s="14"/>
      <c r="U269" s="14"/>
      <c r="V269" s="14"/>
      <c r="W269" s="14"/>
      <c r="X269" s="14"/>
      <c r="Y269" s="14"/>
      <c r="Z269" s="25"/>
      <c r="AA269" s="34"/>
      <c r="AB269" s="37"/>
      <c r="AC269" s="36" t="str">
        <f t="shared" ref="AC269:AC332" si="4">IF(AB269="","",MID(AB269,14,IFERROR(FIND(", Powiat",AB269,1),FIND(", Powiat",AB269,1))-LEN("Województwo: ")-1))</f>
        <v/>
      </c>
      <c r="AD269" s="9"/>
      <c r="AE269" s="9"/>
      <c r="AF269" s="9"/>
      <c r="AG269" s="9"/>
      <c r="AH269" s="9"/>
      <c r="AI269" s="26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4"/>
      <c r="DF269" s="14"/>
      <c r="DG269" s="14"/>
      <c r="DH269" s="14"/>
      <c r="DI269" s="14"/>
      <c r="DJ269" s="14"/>
    </row>
    <row r="270" spans="4:114" x14ac:dyDescent="0.25">
      <c r="D270" s="14"/>
      <c r="E270" s="15"/>
      <c r="F270" s="14"/>
      <c r="G270" s="14"/>
      <c r="H270" s="14"/>
      <c r="I270" s="14"/>
      <c r="J270" s="14"/>
      <c r="K270" s="25"/>
      <c r="L270" s="34"/>
      <c r="M270" s="34"/>
      <c r="N270" s="9"/>
      <c r="O270" s="9"/>
      <c r="P270" s="9"/>
      <c r="Q270" s="9"/>
      <c r="R270" s="9"/>
      <c r="S270" s="26"/>
      <c r="T270" s="14"/>
      <c r="U270" s="14"/>
      <c r="V270" s="14"/>
      <c r="W270" s="14"/>
      <c r="X270" s="14"/>
      <c r="Y270" s="14"/>
      <c r="Z270" s="25"/>
      <c r="AA270" s="34"/>
      <c r="AB270" s="37"/>
      <c r="AC270" s="36" t="str">
        <f t="shared" si="4"/>
        <v/>
      </c>
      <c r="AD270" s="9"/>
      <c r="AE270" s="9"/>
      <c r="AF270" s="9"/>
      <c r="AG270" s="9"/>
      <c r="AH270" s="9"/>
      <c r="AI270" s="26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4"/>
      <c r="DF270" s="14"/>
      <c r="DG270" s="14"/>
      <c r="DH270" s="14"/>
      <c r="DI270" s="14"/>
      <c r="DJ270" s="14"/>
    </row>
    <row r="271" spans="4:114" x14ac:dyDescent="0.25">
      <c r="D271" s="14"/>
      <c r="E271" s="15"/>
      <c r="F271" s="14"/>
      <c r="G271" s="14"/>
      <c r="H271" s="14"/>
      <c r="I271" s="14"/>
      <c r="J271" s="14"/>
      <c r="K271" s="25"/>
      <c r="L271" s="34"/>
      <c r="M271" s="34"/>
      <c r="N271" s="9"/>
      <c r="O271" s="9"/>
      <c r="P271" s="9"/>
      <c r="Q271" s="9"/>
      <c r="R271" s="9"/>
      <c r="S271" s="26"/>
      <c r="T271" s="14"/>
      <c r="U271" s="14"/>
      <c r="V271" s="14"/>
      <c r="W271" s="14"/>
      <c r="X271" s="14"/>
      <c r="Y271" s="14"/>
      <c r="Z271" s="25"/>
      <c r="AA271" s="34"/>
      <c r="AB271" s="37"/>
      <c r="AC271" s="36" t="str">
        <f t="shared" si="4"/>
        <v/>
      </c>
      <c r="AD271" s="9"/>
      <c r="AE271" s="9"/>
      <c r="AF271" s="9"/>
      <c r="AG271" s="9"/>
      <c r="AH271" s="9"/>
      <c r="AI271" s="26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4"/>
      <c r="DF271" s="14"/>
      <c r="DG271" s="14"/>
      <c r="DH271" s="14"/>
      <c r="DI271" s="14"/>
      <c r="DJ271" s="14"/>
    </row>
    <row r="272" spans="4:114" x14ac:dyDescent="0.25">
      <c r="D272" s="14"/>
      <c r="E272" s="15"/>
      <c r="F272" s="14"/>
      <c r="G272" s="14"/>
      <c r="H272" s="14"/>
      <c r="I272" s="14"/>
      <c r="J272" s="14"/>
      <c r="K272" s="25"/>
      <c r="L272" s="34"/>
      <c r="M272" s="34"/>
      <c r="N272" s="9"/>
      <c r="O272" s="9"/>
      <c r="P272" s="9"/>
      <c r="Q272" s="9"/>
      <c r="R272" s="9"/>
      <c r="S272" s="26"/>
      <c r="T272" s="14"/>
      <c r="U272" s="14"/>
      <c r="V272" s="14"/>
      <c r="W272" s="14"/>
      <c r="X272" s="14"/>
      <c r="Y272" s="14"/>
      <c r="Z272" s="25"/>
      <c r="AA272" s="34"/>
      <c r="AB272" s="37"/>
      <c r="AC272" s="36" t="str">
        <f t="shared" si="4"/>
        <v/>
      </c>
      <c r="AD272" s="9"/>
      <c r="AE272" s="9"/>
      <c r="AF272" s="9"/>
      <c r="AG272" s="9"/>
      <c r="AH272" s="9"/>
      <c r="AI272" s="26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4"/>
      <c r="DF272" s="14"/>
      <c r="DG272" s="14"/>
      <c r="DH272" s="14"/>
      <c r="DI272" s="14"/>
      <c r="DJ272" s="14"/>
    </row>
    <row r="273" spans="4:114" x14ac:dyDescent="0.25">
      <c r="D273" s="14"/>
      <c r="E273" s="15"/>
      <c r="F273" s="14"/>
      <c r="G273" s="14"/>
      <c r="H273" s="14"/>
      <c r="I273" s="14"/>
      <c r="J273" s="14"/>
      <c r="K273" s="25"/>
      <c r="L273" s="34"/>
      <c r="M273" s="34"/>
      <c r="N273" s="9"/>
      <c r="O273" s="9"/>
      <c r="P273" s="9"/>
      <c r="Q273" s="9"/>
      <c r="R273" s="9"/>
      <c r="S273" s="26"/>
      <c r="T273" s="14"/>
      <c r="U273" s="14"/>
      <c r="V273" s="14"/>
      <c r="W273" s="14"/>
      <c r="X273" s="14"/>
      <c r="Y273" s="14"/>
      <c r="Z273" s="25"/>
      <c r="AA273" s="34"/>
      <c r="AB273" s="37"/>
      <c r="AC273" s="36" t="str">
        <f t="shared" si="4"/>
        <v/>
      </c>
      <c r="AD273" s="9"/>
      <c r="AE273" s="9"/>
      <c r="AF273" s="9"/>
      <c r="AG273" s="9"/>
      <c r="AH273" s="9"/>
      <c r="AI273" s="26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4"/>
      <c r="DF273" s="14"/>
      <c r="DG273" s="14"/>
      <c r="DH273" s="14"/>
      <c r="DI273" s="14"/>
      <c r="DJ273" s="14"/>
    </row>
    <row r="274" spans="4:114" x14ac:dyDescent="0.25">
      <c r="D274" s="14"/>
      <c r="E274" s="15"/>
      <c r="F274" s="14"/>
      <c r="G274" s="14"/>
      <c r="H274" s="14"/>
      <c r="I274" s="14"/>
      <c r="J274" s="14"/>
      <c r="K274" s="25"/>
      <c r="L274" s="34"/>
      <c r="M274" s="34"/>
      <c r="N274" s="9"/>
      <c r="O274" s="9"/>
      <c r="P274" s="9"/>
      <c r="Q274" s="9"/>
      <c r="R274" s="9"/>
      <c r="S274" s="26"/>
      <c r="T274" s="14"/>
      <c r="U274" s="14"/>
      <c r="V274" s="14"/>
      <c r="W274" s="14"/>
      <c r="X274" s="14"/>
      <c r="Y274" s="14"/>
      <c r="Z274" s="25"/>
      <c r="AA274" s="34"/>
      <c r="AB274" s="37"/>
      <c r="AC274" s="36" t="str">
        <f t="shared" si="4"/>
        <v/>
      </c>
      <c r="AD274" s="9"/>
      <c r="AE274" s="9"/>
      <c r="AF274" s="9"/>
      <c r="AG274" s="9"/>
      <c r="AH274" s="9"/>
      <c r="AI274" s="26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4"/>
      <c r="DF274" s="14"/>
      <c r="DG274" s="14"/>
      <c r="DH274" s="14"/>
      <c r="DI274" s="14"/>
      <c r="DJ274" s="14"/>
    </row>
    <row r="275" spans="4:114" x14ac:dyDescent="0.25">
      <c r="D275" s="14"/>
      <c r="E275" s="15"/>
      <c r="F275" s="14"/>
      <c r="G275" s="14"/>
      <c r="H275" s="14"/>
      <c r="I275" s="14"/>
      <c r="J275" s="14"/>
      <c r="K275" s="25"/>
      <c r="L275" s="34"/>
      <c r="M275" s="34"/>
      <c r="N275" s="9"/>
      <c r="O275" s="9"/>
      <c r="P275" s="9"/>
      <c r="Q275" s="9"/>
      <c r="R275" s="9"/>
      <c r="S275" s="26"/>
      <c r="T275" s="14"/>
      <c r="U275" s="14"/>
      <c r="V275" s="14"/>
      <c r="W275" s="14"/>
      <c r="X275" s="14"/>
      <c r="Y275" s="14"/>
      <c r="Z275" s="25"/>
      <c r="AA275" s="34"/>
      <c r="AB275" s="37"/>
      <c r="AC275" s="36" t="str">
        <f t="shared" si="4"/>
        <v/>
      </c>
      <c r="AD275" s="9"/>
      <c r="AE275" s="9"/>
      <c r="AF275" s="9"/>
      <c r="AG275" s="9"/>
      <c r="AH275" s="9"/>
      <c r="AI275" s="26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4"/>
      <c r="DF275" s="14"/>
      <c r="DG275" s="14"/>
      <c r="DH275" s="14"/>
      <c r="DI275" s="14"/>
      <c r="DJ275" s="14"/>
    </row>
    <row r="276" spans="4:114" x14ac:dyDescent="0.25">
      <c r="D276" s="14"/>
      <c r="E276" s="15"/>
      <c r="F276" s="14"/>
      <c r="G276" s="14"/>
      <c r="H276" s="14"/>
      <c r="I276" s="14"/>
      <c r="J276" s="14"/>
      <c r="K276" s="25"/>
      <c r="L276" s="34"/>
      <c r="M276" s="34"/>
      <c r="N276" s="9"/>
      <c r="O276" s="9"/>
      <c r="P276" s="9"/>
      <c r="Q276" s="9"/>
      <c r="R276" s="9"/>
      <c r="S276" s="26"/>
      <c r="T276" s="14"/>
      <c r="U276" s="14"/>
      <c r="V276" s="14"/>
      <c r="W276" s="14"/>
      <c r="X276" s="14"/>
      <c r="Y276" s="14"/>
      <c r="Z276" s="25"/>
      <c r="AA276" s="34"/>
      <c r="AB276" s="37"/>
      <c r="AC276" s="36" t="str">
        <f t="shared" si="4"/>
        <v/>
      </c>
      <c r="AD276" s="9"/>
      <c r="AE276" s="9"/>
      <c r="AF276" s="9"/>
      <c r="AG276" s="9"/>
      <c r="AH276" s="9"/>
      <c r="AI276" s="26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4"/>
      <c r="DF276" s="14"/>
      <c r="DG276" s="14"/>
      <c r="DH276" s="14"/>
      <c r="DI276" s="14"/>
      <c r="DJ276" s="14"/>
    </row>
    <row r="277" spans="4:114" x14ac:dyDescent="0.25">
      <c r="D277" s="14"/>
      <c r="E277" s="15"/>
      <c r="F277" s="14"/>
      <c r="G277" s="14"/>
      <c r="H277" s="14"/>
      <c r="I277" s="14"/>
      <c r="J277" s="14"/>
      <c r="K277" s="25"/>
      <c r="L277" s="34"/>
      <c r="M277" s="34"/>
      <c r="N277" s="9"/>
      <c r="O277" s="9"/>
      <c r="P277" s="9"/>
      <c r="Q277" s="9"/>
      <c r="R277" s="9"/>
      <c r="S277" s="26"/>
      <c r="T277" s="14"/>
      <c r="U277" s="14"/>
      <c r="V277" s="14"/>
      <c r="W277" s="14"/>
      <c r="X277" s="14"/>
      <c r="Y277" s="14"/>
      <c r="Z277" s="25"/>
      <c r="AA277" s="34"/>
      <c r="AB277" s="37"/>
      <c r="AC277" s="36" t="str">
        <f t="shared" si="4"/>
        <v/>
      </c>
      <c r="AD277" s="9"/>
      <c r="AE277" s="9"/>
      <c r="AF277" s="9"/>
      <c r="AG277" s="9"/>
      <c r="AH277" s="9"/>
      <c r="AI277" s="26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4"/>
      <c r="DF277" s="14"/>
      <c r="DG277" s="14"/>
      <c r="DH277" s="14"/>
      <c r="DI277" s="14"/>
      <c r="DJ277" s="14"/>
    </row>
    <row r="278" spans="4:114" x14ac:dyDescent="0.25">
      <c r="D278" s="14"/>
      <c r="E278" s="15"/>
      <c r="F278" s="14"/>
      <c r="G278" s="14"/>
      <c r="H278" s="14"/>
      <c r="I278" s="14"/>
      <c r="J278" s="14"/>
      <c r="K278" s="25"/>
      <c r="L278" s="34"/>
      <c r="M278" s="34"/>
      <c r="N278" s="9"/>
      <c r="O278" s="9"/>
      <c r="P278" s="9"/>
      <c r="Q278" s="9"/>
      <c r="R278" s="9"/>
      <c r="S278" s="26"/>
      <c r="T278" s="14"/>
      <c r="U278" s="14"/>
      <c r="V278" s="14"/>
      <c r="W278" s="14"/>
      <c r="X278" s="14"/>
      <c r="Y278" s="14"/>
      <c r="Z278" s="25"/>
      <c r="AA278" s="34"/>
      <c r="AB278" s="37"/>
      <c r="AC278" s="36" t="str">
        <f t="shared" si="4"/>
        <v/>
      </c>
      <c r="AD278" s="9"/>
      <c r="AE278" s="9"/>
      <c r="AF278" s="9"/>
      <c r="AG278" s="9"/>
      <c r="AH278" s="9"/>
      <c r="AI278" s="26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4"/>
      <c r="DF278" s="14"/>
      <c r="DG278" s="14"/>
      <c r="DH278" s="14"/>
      <c r="DI278" s="14"/>
      <c r="DJ278" s="14"/>
    </row>
    <row r="279" spans="4:114" x14ac:dyDescent="0.25">
      <c r="D279" s="14"/>
      <c r="E279" s="15"/>
      <c r="F279" s="14"/>
      <c r="G279" s="14"/>
      <c r="H279" s="14"/>
      <c r="I279" s="14"/>
      <c r="J279" s="14"/>
      <c r="K279" s="25"/>
      <c r="L279" s="34"/>
      <c r="M279" s="34"/>
      <c r="N279" s="9"/>
      <c r="O279" s="9"/>
      <c r="P279" s="9"/>
      <c r="Q279" s="9"/>
      <c r="R279" s="9"/>
      <c r="S279" s="26"/>
      <c r="T279" s="14"/>
      <c r="U279" s="14"/>
      <c r="V279" s="14"/>
      <c r="W279" s="14"/>
      <c r="X279" s="14"/>
      <c r="Y279" s="14"/>
      <c r="Z279" s="25"/>
      <c r="AA279" s="34"/>
      <c r="AB279" s="37"/>
      <c r="AC279" s="36" t="str">
        <f t="shared" si="4"/>
        <v/>
      </c>
      <c r="AD279" s="9"/>
      <c r="AE279" s="9"/>
      <c r="AF279" s="9"/>
      <c r="AG279" s="9"/>
      <c r="AH279" s="9"/>
      <c r="AI279" s="26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4"/>
      <c r="DF279" s="14"/>
      <c r="DG279" s="14"/>
      <c r="DH279" s="14"/>
      <c r="DI279" s="14"/>
      <c r="DJ279" s="14"/>
    </row>
    <row r="280" spans="4:114" x14ac:dyDescent="0.25">
      <c r="D280" s="14"/>
      <c r="E280" s="15"/>
      <c r="F280" s="14"/>
      <c r="G280" s="14"/>
      <c r="H280" s="14"/>
      <c r="I280" s="14"/>
      <c r="J280" s="14"/>
      <c r="K280" s="25"/>
      <c r="L280" s="34"/>
      <c r="M280" s="34"/>
      <c r="N280" s="9"/>
      <c r="O280" s="9"/>
      <c r="P280" s="9"/>
      <c r="Q280" s="9"/>
      <c r="R280" s="9"/>
      <c r="S280" s="26"/>
      <c r="T280" s="14"/>
      <c r="U280" s="14"/>
      <c r="V280" s="14"/>
      <c r="W280" s="14"/>
      <c r="X280" s="14"/>
      <c r="Y280" s="14"/>
      <c r="Z280" s="25"/>
      <c r="AA280" s="34"/>
      <c r="AB280" s="37"/>
      <c r="AC280" s="36" t="str">
        <f t="shared" si="4"/>
        <v/>
      </c>
      <c r="AD280" s="9"/>
      <c r="AE280" s="9"/>
      <c r="AF280" s="9"/>
      <c r="AG280" s="9"/>
      <c r="AH280" s="9"/>
      <c r="AI280" s="26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4"/>
      <c r="DF280" s="14"/>
      <c r="DG280" s="14"/>
      <c r="DH280" s="14"/>
      <c r="DI280" s="14"/>
      <c r="DJ280" s="14"/>
    </row>
    <row r="281" spans="4:114" x14ac:dyDescent="0.25">
      <c r="D281" s="14"/>
      <c r="E281" s="15"/>
      <c r="F281" s="14"/>
      <c r="G281" s="14"/>
      <c r="H281" s="14"/>
      <c r="I281" s="14"/>
      <c r="J281" s="14"/>
      <c r="K281" s="25"/>
      <c r="L281" s="34"/>
      <c r="M281" s="34"/>
      <c r="N281" s="9"/>
      <c r="O281" s="9"/>
      <c r="P281" s="9"/>
      <c r="Q281" s="9"/>
      <c r="R281" s="9"/>
      <c r="S281" s="26"/>
      <c r="T281" s="14"/>
      <c r="U281" s="14"/>
      <c r="V281" s="14"/>
      <c r="W281" s="14"/>
      <c r="X281" s="14"/>
      <c r="Y281" s="14"/>
      <c r="Z281" s="25"/>
      <c r="AA281" s="34"/>
      <c r="AB281" s="37"/>
      <c r="AC281" s="36" t="str">
        <f t="shared" si="4"/>
        <v/>
      </c>
      <c r="AD281" s="9"/>
      <c r="AE281" s="9"/>
      <c r="AF281" s="9"/>
      <c r="AG281" s="9"/>
      <c r="AH281" s="9"/>
      <c r="AI281" s="26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4"/>
      <c r="DF281" s="14"/>
      <c r="DG281" s="14"/>
      <c r="DH281" s="14"/>
      <c r="DI281" s="14"/>
      <c r="DJ281" s="14"/>
    </row>
    <row r="282" spans="4:114" x14ac:dyDescent="0.25">
      <c r="D282" s="14"/>
      <c r="E282" s="15"/>
      <c r="F282" s="14"/>
      <c r="G282" s="14"/>
      <c r="H282" s="14"/>
      <c r="I282" s="14"/>
      <c r="J282" s="14"/>
      <c r="K282" s="25"/>
      <c r="L282" s="34"/>
      <c r="M282" s="34"/>
      <c r="N282" s="9"/>
      <c r="O282" s="9"/>
      <c r="P282" s="9"/>
      <c r="Q282" s="9"/>
      <c r="R282" s="9"/>
      <c r="S282" s="26"/>
      <c r="T282" s="14"/>
      <c r="U282" s="14"/>
      <c r="V282" s="14"/>
      <c r="W282" s="14"/>
      <c r="X282" s="14"/>
      <c r="Y282" s="14"/>
      <c r="Z282" s="25"/>
      <c r="AA282" s="34"/>
      <c r="AB282" s="37"/>
      <c r="AC282" s="36" t="str">
        <f t="shared" si="4"/>
        <v/>
      </c>
      <c r="AD282" s="9"/>
      <c r="AE282" s="9"/>
      <c r="AF282" s="9"/>
      <c r="AG282" s="9"/>
      <c r="AH282" s="9"/>
      <c r="AI282" s="26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4"/>
      <c r="DF282" s="14"/>
      <c r="DG282" s="14"/>
      <c r="DH282" s="14"/>
      <c r="DI282" s="14"/>
      <c r="DJ282" s="14"/>
    </row>
    <row r="283" spans="4:114" x14ac:dyDescent="0.25">
      <c r="D283" s="14"/>
      <c r="E283" s="15"/>
      <c r="F283" s="14"/>
      <c r="G283" s="14"/>
      <c r="H283" s="14"/>
      <c r="I283" s="14"/>
      <c r="J283" s="14"/>
      <c r="K283" s="25"/>
      <c r="L283" s="34"/>
      <c r="M283" s="34"/>
      <c r="N283" s="9"/>
      <c r="O283" s="9"/>
      <c r="P283" s="9"/>
      <c r="Q283" s="9"/>
      <c r="R283" s="9"/>
      <c r="S283" s="26"/>
      <c r="T283" s="14"/>
      <c r="U283" s="14"/>
      <c r="V283" s="14"/>
      <c r="W283" s="14"/>
      <c r="X283" s="14"/>
      <c r="Y283" s="14"/>
      <c r="Z283" s="25"/>
      <c r="AA283" s="34"/>
      <c r="AB283" s="37"/>
      <c r="AC283" s="36" t="str">
        <f t="shared" si="4"/>
        <v/>
      </c>
      <c r="AD283" s="9"/>
      <c r="AE283" s="9"/>
      <c r="AF283" s="9"/>
      <c r="AG283" s="9"/>
      <c r="AH283" s="9"/>
      <c r="AI283" s="26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4"/>
      <c r="DF283" s="14"/>
      <c r="DG283" s="14"/>
      <c r="DH283" s="14"/>
      <c r="DI283" s="14"/>
      <c r="DJ283" s="14"/>
    </row>
    <row r="284" spans="4:114" x14ac:dyDescent="0.25">
      <c r="D284" s="14"/>
      <c r="E284" s="15"/>
      <c r="F284" s="14"/>
      <c r="G284" s="14"/>
      <c r="H284" s="14"/>
      <c r="I284" s="14"/>
      <c r="J284" s="14"/>
      <c r="K284" s="25"/>
      <c r="L284" s="34"/>
      <c r="M284" s="34"/>
      <c r="N284" s="9"/>
      <c r="O284" s="9"/>
      <c r="P284" s="9"/>
      <c r="Q284" s="9"/>
      <c r="R284" s="9"/>
      <c r="S284" s="26"/>
      <c r="T284" s="14"/>
      <c r="U284" s="14"/>
      <c r="V284" s="14"/>
      <c r="W284" s="14"/>
      <c r="X284" s="14"/>
      <c r="Y284" s="14"/>
      <c r="Z284" s="25"/>
      <c r="AA284" s="34"/>
      <c r="AB284" s="37"/>
      <c r="AC284" s="36" t="str">
        <f t="shared" si="4"/>
        <v/>
      </c>
      <c r="AD284" s="9"/>
      <c r="AE284" s="9"/>
      <c r="AF284" s="9"/>
      <c r="AG284" s="9"/>
      <c r="AH284" s="9"/>
      <c r="AI284" s="26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4"/>
      <c r="DF284" s="14"/>
      <c r="DG284" s="14"/>
      <c r="DH284" s="14"/>
      <c r="DI284" s="14"/>
      <c r="DJ284" s="14"/>
    </row>
    <row r="285" spans="4:114" x14ac:dyDescent="0.25">
      <c r="D285" s="14"/>
      <c r="E285" s="15"/>
      <c r="F285" s="14"/>
      <c r="G285" s="14"/>
      <c r="H285" s="14"/>
      <c r="I285" s="14"/>
      <c r="J285" s="14"/>
      <c r="K285" s="25"/>
      <c r="L285" s="34"/>
      <c r="M285" s="34"/>
      <c r="N285" s="9"/>
      <c r="O285" s="9"/>
      <c r="P285" s="9"/>
      <c r="Q285" s="9"/>
      <c r="R285" s="9"/>
      <c r="S285" s="26"/>
      <c r="T285" s="14"/>
      <c r="U285" s="14"/>
      <c r="V285" s="14"/>
      <c r="W285" s="14"/>
      <c r="X285" s="14"/>
      <c r="Y285" s="14"/>
      <c r="Z285" s="25"/>
      <c r="AA285" s="34"/>
      <c r="AB285" s="37"/>
      <c r="AC285" s="36" t="str">
        <f t="shared" si="4"/>
        <v/>
      </c>
      <c r="AD285" s="9"/>
      <c r="AE285" s="9"/>
      <c r="AF285" s="9"/>
      <c r="AG285" s="9"/>
      <c r="AH285" s="9"/>
      <c r="AI285" s="26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4"/>
      <c r="DF285" s="14"/>
      <c r="DG285" s="14"/>
      <c r="DH285" s="14"/>
      <c r="DI285" s="14"/>
      <c r="DJ285" s="14"/>
    </row>
    <row r="286" spans="4:114" x14ac:dyDescent="0.25">
      <c r="D286" s="14"/>
      <c r="E286" s="15"/>
      <c r="F286" s="14"/>
      <c r="G286" s="14"/>
      <c r="H286" s="14"/>
      <c r="I286" s="14"/>
      <c r="J286" s="14"/>
      <c r="K286" s="25"/>
      <c r="L286" s="34"/>
      <c r="M286" s="34"/>
      <c r="N286" s="9"/>
      <c r="O286" s="9"/>
      <c r="P286" s="9"/>
      <c r="Q286" s="9"/>
      <c r="R286" s="9"/>
      <c r="S286" s="26"/>
      <c r="T286" s="14"/>
      <c r="U286" s="14"/>
      <c r="V286" s="14"/>
      <c r="W286" s="14"/>
      <c r="X286" s="14"/>
      <c r="Y286" s="14"/>
      <c r="Z286" s="25"/>
      <c r="AA286" s="34"/>
      <c r="AB286" s="37"/>
      <c r="AC286" s="36" t="str">
        <f t="shared" si="4"/>
        <v/>
      </c>
      <c r="AD286" s="9"/>
      <c r="AE286" s="9"/>
      <c r="AF286" s="9"/>
      <c r="AG286" s="9"/>
      <c r="AH286" s="9"/>
      <c r="AI286" s="26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4"/>
      <c r="DF286" s="14"/>
      <c r="DG286" s="14"/>
      <c r="DH286" s="14"/>
      <c r="DI286" s="14"/>
      <c r="DJ286" s="14"/>
    </row>
    <row r="287" spans="4:114" x14ac:dyDescent="0.25">
      <c r="D287" s="14"/>
      <c r="E287" s="15"/>
      <c r="F287" s="14"/>
      <c r="G287" s="14"/>
      <c r="H287" s="14"/>
      <c r="I287" s="14"/>
      <c r="J287" s="14"/>
      <c r="K287" s="25"/>
      <c r="L287" s="34"/>
      <c r="M287" s="34"/>
      <c r="N287" s="9"/>
      <c r="O287" s="9"/>
      <c r="P287" s="9"/>
      <c r="Q287" s="9"/>
      <c r="R287" s="9"/>
      <c r="S287" s="26"/>
      <c r="T287" s="14"/>
      <c r="U287" s="14"/>
      <c r="V287" s="14"/>
      <c r="W287" s="14"/>
      <c r="X287" s="14"/>
      <c r="Y287" s="14"/>
      <c r="Z287" s="25"/>
      <c r="AA287" s="34"/>
      <c r="AB287" s="37"/>
      <c r="AC287" s="36" t="str">
        <f t="shared" si="4"/>
        <v/>
      </c>
      <c r="AD287" s="9"/>
      <c r="AE287" s="9"/>
      <c r="AF287" s="9"/>
      <c r="AG287" s="9"/>
      <c r="AH287" s="9"/>
      <c r="AI287" s="26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4"/>
      <c r="DF287" s="14"/>
      <c r="DG287" s="14"/>
      <c r="DH287" s="14"/>
      <c r="DI287" s="14"/>
      <c r="DJ287" s="14"/>
    </row>
    <row r="288" spans="4:114" x14ac:dyDescent="0.25">
      <c r="D288" s="14"/>
      <c r="E288" s="15"/>
      <c r="F288" s="14"/>
      <c r="G288" s="14"/>
      <c r="H288" s="14"/>
      <c r="I288" s="14"/>
      <c r="J288" s="14"/>
      <c r="K288" s="25"/>
      <c r="L288" s="34"/>
      <c r="M288" s="34"/>
      <c r="N288" s="9"/>
      <c r="O288" s="9"/>
      <c r="P288" s="9"/>
      <c r="Q288" s="9"/>
      <c r="R288" s="9"/>
      <c r="S288" s="26"/>
      <c r="T288" s="14"/>
      <c r="U288" s="14"/>
      <c r="V288" s="14"/>
      <c r="W288" s="14"/>
      <c r="X288" s="14"/>
      <c r="Y288" s="14"/>
      <c r="Z288" s="25"/>
      <c r="AA288" s="34"/>
      <c r="AB288" s="37"/>
      <c r="AC288" s="36" t="str">
        <f t="shared" si="4"/>
        <v/>
      </c>
      <c r="AD288" s="9"/>
      <c r="AE288" s="9"/>
      <c r="AF288" s="9"/>
      <c r="AG288" s="9"/>
      <c r="AH288" s="9"/>
      <c r="AI288" s="26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4"/>
      <c r="DF288" s="14"/>
      <c r="DG288" s="14"/>
      <c r="DH288" s="14"/>
      <c r="DI288" s="14"/>
      <c r="DJ288" s="14"/>
    </row>
    <row r="289" spans="4:114" x14ac:dyDescent="0.25">
      <c r="D289" s="14"/>
      <c r="E289" s="15"/>
      <c r="F289" s="14"/>
      <c r="G289" s="14"/>
      <c r="H289" s="14"/>
      <c r="I289" s="14"/>
      <c r="J289" s="14"/>
      <c r="K289" s="25"/>
      <c r="L289" s="34"/>
      <c r="M289" s="34"/>
      <c r="N289" s="9"/>
      <c r="O289" s="9"/>
      <c r="P289" s="9"/>
      <c r="Q289" s="9"/>
      <c r="R289" s="9"/>
      <c r="S289" s="26"/>
      <c r="T289" s="14"/>
      <c r="U289" s="14"/>
      <c r="V289" s="14"/>
      <c r="W289" s="14"/>
      <c r="X289" s="14"/>
      <c r="Y289" s="14"/>
      <c r="Z289" s="25"/>
      <c r="AA289" s="34"/>
      <c r="AB289" s="37"/>
      <c r="AC289" s="36" t="str">
        <f t="shared" si="4"/>
        <v/>
      </c>
      <c r="AD289" s="9"/>
      <c r="AE289" s="9"/>
      <c r="AF289" s="9"/>
      <c r="AG289" s="9"/>
      <c r="AH289" s="9"/>
      <c r="AI289" s="26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4"/>
      <c r="DF289" s="14"/>
      <c r="DG289" s="14"/>
      <c r="DH289" s="14"/>
      <c r="DI289" s="14"/>
      <c r="DJ289" s="14"/>
    </row>
    <row r="290" spans="4:114" x14ac:dyDescent="0.25">
      <c r="D290" s="14"/>
      <c r="E290" s="15"/>
      <c r="F290" s="14"/>
      <c r="G290" s="14"/>
      <c r="H290" s="14"/>
      <c r="I290" s="14"/>
      <c r="J290" s="14"/>
      <c r="K290" s="25"/>
      <c r="L290" s="34"/>
      <c r="M290" s="34"/>
      <c r="N290" s="9"/>
      <c r="O290" s="9"/>
      <c r="P290" s="9"/>
      <c r="Q290" s="9"/>
      <c r="R290" s="9"/>
      <c r="S290" s="26"/>
      <c r="T290" s="14"/>
      <c r="U290" s="14"/>
      <c r="V290" s="14"/>
      <c r="W290" s="14"/>
      <c r="X290" s="14"/>
      <c r="Y290" s="14"/>
      <c r="Z290" s="25"/>
      <c r="AA290" s="34"/>
      <c r="AB290" s="37"/>
      <c r="AC290" s="36" t="str">
        <f t="shared" si="4"/>
        <v/>
      </c>
      <c r="AD290" s="9"/>
      <c r="AE290" s="9"/>
      <c r="AF290" s="9"/>
      <c r="AG290" s="9"/>
      <c r="AH290" s="9"/>
      <c r="AI290" s="26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4"/>
      <c r="DF290" s="14"/>
      <c r="DG290" s="14"/>
      <c r="DH290" s="14"/>
      <c r="DI290" s="14"/>
      <c r="DJ290" s="14"/>
    </row>
    <row r="291" spans="4:114" x14ac:dyDescent="0.25">
      <c r="D291" s="14"/>
      <c r="E291" s="15"/>
      <c r="F291" s="14"/>
      <c r="G291" s="14"/>
      <c r="H291" s="14"/>
      <c r="I291" s="14"/>
      <c r="J291" s="14"/>
      <c r="K291" s="25"/>
      <c r="L291" s="34"/>
      <c r="M291" s="34"/>
      <c r="N291" s="9"/>
      <c r="O291" s="9"/>
      <c r="P291" s="9"/>
      <c r="Q291" s="9"/>
      <c r="R291" s="9"/>
      <c r="S291" s="26"/>
      <c r="T291" s="14"/>
      <c r="U291" s="14"/>
      <c r="V291" s="14"/>
      <c r="W291" s="14"/>
      <c r="X291" s="14"/>
      <c r="Y291" s="14"/>
      <c r="Z291" s="25"/>
      <c r="AA291" s="34"/>
      <c r="AB291" s="37"/>
      <c r="AC291" s="36" t="str">
        <f t="shared" si="4"/>
        <v/>
      </c>
      <c r="AD291" s="9"/>
      <c r="AE291" s="9"/>
      <c r="AF291" s="9"/>
      <c r="AG291" s="9"/>
      <c r="AH291" s="9"/>
      <c r="AI291" s="26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4"/>
      <c r="DF291" s="14"/>
      <c r="DG291" s="14"/>
      <c r="DH291" s="14"/>
      <c r="DI291" s="14"/>
      <c r="DJ291" s="14"/>
    </row>
    <row r="292" spans="4:114" x14ac:dyDescent="0.25">
      <c r="D292" s="14"/>
      <c r="E292" s="15"/>
      <c r="F292" s="14"/>
      <c r="G292" s="14"/>
      <c r="H292" s="14"/>
      <c r="I292" s="14"/>
      <c r="J292" s="14"/>
      <c r="K292" s="25"/>
      <c r="L292" s="34"/>
      <c r="M292" s="34"/>
      <c r="N292" s="9"/>
      <c r="O292" s="9"/>
      <c r="P292" s="9"/>
      <c r="Q292" s="9"/>
      <c r="R292" s="9"/>
      <c r="S292" s="26"/>
      <c r="T292" s="14"/>
      <c r="U292" s="14"/>
      <c r="V292" s="14"/>
      <c r="W292" s="14"/>
      <c r="X292" s="14"/>
      <c r="Y292" s="14"/>
      <c r="Z292" s="25"/>
      <c r="AA292" s="34"/>
      <c r="AB292" s="37"/>
      <c r="AC292" s="36" t="str">
        <f t="shared" si="4"/>
        <v/>
      </c>
      <c r="AD292" s="9"/>
      <c r="AE292" s="9"/>
      <c r="AF292" s="9"/>
      <c r="AG292" s="9"/>
      <c r="AH292" s="9"/>
      <c r="AI292" s="26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4"/>
      <c r="DF292" s="14"/>
      <c r="DG292" s="14"/>
      <c r="DH292" s="14"/>
      <c r="DI292" s="14"/>
      <c r="DJ292" s="14"/>
    </row>
    <row r="293" spans="4:114" x14ac:dyDescent="0.25">
      <c r="D293" s="14"/>
      <c r="E293" s="15"/>
      <c r="F293" s="14"/>
      <c r="G293" s="14"/>
      <c r="H293" s="14"/>
      <c r="I293" s="14"/>
      <c r="J293" s="14"/>
      <c r="K293" s="25"/>
      <c r="L293" s="34"/>
      <c r="M293" s="34"/>
      <c r="N293" s="9"/>
      <c r="O293" s="9"/>
      <c r="P293" s="9"/>
      <c r="Q293" s="9"/>
      <c r="R293" s="9"/>
      <c r="S293" s="26"/>
      <c r="T293" s="14"/>
      <c r="U293" s="14"/>
      <c r="V293" s="14"/>
      <c r="W293" s="14"/>
      <c r="X293" s="14"/>
      <c r="Y293" s="14"/>
      <c r="Z293" s="25"/>
      <c r="AA293" s="34"/>
      <c r="AB293" s="37"/>
      <c r="AC293" s="36" t="str">
        <f t="shared" si="4"/>
        <v/>
      </c>
      <c r="AD293" s="9"/>
      <c r="AE293" s="9"/>
      <c r="AF293" s="9"/>
      <c r="AG293" s="9"/>
      <c r="AH293" s="9"/>
      <c r="AI293" s="26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4"/>
      <c r="DF293" s="14"/>
      <c r="DG293" s="14"/>
      <c r="DH293" s="14"/>
      <c r="DI293" s="14"/>
      <c r="DJ293" s="14"/>
    </row>
    <row r="294" spans="4:114" x14ac:dyDescent="0.25">
      <c r="D294" s="14"/>
      <c r="E294" s="15"/>
      <c r="F294" s="14"/>
      <c r="G294" s="14"/>
      <c r="H294" s="14"/>
      <c r="I294" s="14"/>
      <c r="J294" s="14"/>
      <c r="K294" s="25"/>
      <c r="L294" s="34"/>
      <c r="M294" s="34"/>
      <c r="N294" s="9"/>
      <c r="O294" s="9"/>
      <c r="P294" s="9"/>
      <c r="Q294" s="9"/>
      <c r="R294" s="9"/>
      <c r="S294" s="26"/>
      <c r="T294" s="14"/>
      <c r="U294" s="14"/>
      <c r="V294" s="14"/>
      <c r="W294" s="14"/>
      <c r="X294" s="14"/>
      <c r="Y294" s="14"/>
      <c r="Z294" s="25"/>
      <c r="AA294" s="34"/>
      <c r="AB294" s="37"/>
      <c r="AC294" s="36" t="str">
        <f t="shared" si="4"/>
        <v/>
      </c>
      <c r="AD294" s="9"/>
      <c r="AE294" s="9"/>
      <c r="AF294" s="9"/>
      <c r="AG294" s="9"/>
      <c r="AH294" s="9"/>
      <c r="AI294" s="26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4"/>
      <c r="DF294" s="14"/>
      <c r="DG294" s="14"/>
      <c r="DH294" s="14"/>
      <c r="DI294" s="14"/>
      <c r="DJ294" s="14"/>
    </row>
    <row r="295" spans="4:114" x14ac:dyDescent="0.25">
      <c r="D295" s="14"/>
      <c r="E295" s="15"/>
      <c r="F295" s="14"/>
      <c r="G295" s="14"/>
      <c r="H295" s="14"/>
      <c r="I295" s="14"/>
      <c r="J295" s="14"/>
      <c r="K295" s="25"/>
      <c r="L295" s="34"/>
      <c r="M295" s="34"/>
      <c r="N295" s="9"/>
      <c r="O295" s="9"/>
      <c r="P295" s="9"/>
      <c r="Q295" s="9"/>
      <c r="R295" s="9"/>
      <c r="S295" s="26"/>
      <c r="T295" s="14"/>
      <c r="U295" s="14"/>
      <c r="V295" s="14"/>
      <c r="W295" s="14"/>
      <c r="X295" s="14"/>
      <c r="Y295" s="14"/>
      <c r="Z295" s="25"/>
      <c r="AA295" s="34"/>
      <c r="AB295" s="37"/>
      <c r="AC295" s="36" t="str">
        <f t="shared" si="4"/>
        <v/>
      </c>
      <c r="AD295" s="9"/>
      <c r="AE295" s="9"/>
      <c r="AF295" s="9"/>
      <c r="AG295" s="9"/>
      <c r="AH295" s="9"/>
      <c r="AI295" s="26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4"/>
      <c r="DF295" s="14"/>
      <c r="DG295" s="14"/>
      <c r="DH295" s="14"/>
      <c r="DI295" s="14"/>
      <c r="DJ295" s="14"/>
    </row>
    <row r="296" spans="4:114" x14ac:dyDescent="0.25">
      <c r="D296" s="14"/>
      <c r="E296" s="15"/>
      <c r="F296" s="14"/>
      <c r="G296" s="14"/>
      <c r="H296" s="14"/>
      <c r="I296" s="14"/>
      <c r="J296" s="14"/>
      <c r="K296" s="25"/>
      <c r="L296" s="34"/>
      <c r="M296" s="34"/>
      <c r="N296" s="9"/>
      <c r="O296" s="9"/>
      <c r="P296" s="9"/>
      <c r="Q296" s="9"/>
      <c r="R296" s="9"/>
      <c r="S296" s="26"/>
      <c r="T296" s="14"/>
      <c r="U296" s="14"/>
      <c r="V296" s="14"/>
      <c r="W296" s="14"/>
      <c r="X296" s="14"/>
      <c r="Y296" s="14"/>
      <c r="Z296" s="25"/>
      <c r="AA296" s="34"/>
      <c r="AB296" s="37"/>
      <c r="AC296" s="36" t="str">
        <f t="shared" si="4"/>
        <v/>
      </c>
      <c r="AD296" s="9"/>
      <c r="AE296" s="9"/>
      <c r="AF296" s="9"/>
      <c r="AG296" s="9"/>
      <c r="AH296" s="9"/>
      <c r="AI296" s="26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4"/>
      <c r="DF296" s="14"/>
      <c r="DG296" s="14"/>
      <c r="DH296" s="14"/>
      <c r="DI296" s="14"/>
      <c r="DJ296" s="14"/>
    </row>
    <row r="297" spans="4:114" x14ac:dyDescent="0.25">
      <c r="D297" s="14"/>
      <c r="E297" s="15"/>
      <c r="F297" s="14"/>
      <c r="G297" s="14"/>
      <c r="H297" s="14"/>
      <c r="I297" s="14"/>
      <c r="J297" s="14"/>
      <c r="K297" s="25"/>
      <c r="L297" s="34"/>
      <c r="M297" s="34"/>
      <c r="N297" s="9"/>
      <c r="O297" s="9"/>
      <c r="P297" s="9"/>
      <c r="Q297" s="9"/>
      <c r="R297" s="9"/>
      <c r="S297" s="26"/>
      <c r="T297" s="14"/>
      <c r="U297" s="14"/>
      <c r="V297" s="14"/>
      <c r="W297" s="14"/>
      <c r="X297" s="14"/>
      <c r="Y297" s="14"/>
      <c r="Z297" s="25"/>
      <c r="AA297" s="34"/>
      <c r="AB297" s="37"/>
      <c r="AC297" s="36" t="str">
        <f t="shared" si="4"/>
        <v/>
      </c>
      <c r="AD297" s="9"/>
      <c r="AE297" s="9"/>
      <c r="AF297" s="9"/>
      <c r="AG297" s="9"/>
      <c r="AH297" s="9"/>
      <c r="AI297" s="26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4"/>
      <c r="DF297" s="14"/>
      <c r="DG297" s="14"/>
      <c r="DH297" s="14"/>
      <c r="DI297" s="14"/>
      <c r="DJ297" s="14"/>
    </row>
    <row r="298" spans="4:114" x14ac:dyDescent="0.25">
      <c r="D298" s="14"/>
      <c r="E298" s="15"/>
      <c r="F298" s="14"/>
      <c r="G298" s="14"/>
      <c r="H298" s="14"/>
      <c r="I298" s="14"/>
      <c r="J298" s="14"/>
      <c r="K298" s="25"/>
      <c r="L298" s="34"/>
      <c r="M298" s="34"/>
      <c r="N298" s="9"/>
      <c r="O298" s="9"/>
      <c r="P298" s="9"/>
      <c r="Q298" s="9"/>
      <c r="R298" s="9"/>
      <c r="S298" s="26"/>
      <c r="T298" s="14"/>
      <c r="U298" s="14"/>
      <c r="V298" s="14"/>
      <c r="W298" s="14"/>
      <c r="X298" s="14"/>
      <c r="Y298" s="14"/>
      <c r="Z298" s="25"/>
      <c r="AA298" s="34"/>
      <c r="AB298" s="37"/>
      <c r="AC298" s="36" t="str">
        <f t="shared" si="4"/>
        <v/>
      </c>
      <c r="AD298" s="9"/>
      <c r="AE298" s="9"/>
      <c r="AF298" s="9"/>
      <c r="AG298" s="9"/>
      <c r="AH298" s="9"/>
      <c r="AI298" s="26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4"/>
      <c r="DF298" s="14"/>
      <c r="DG298" s="14"/>
      <c r="DH298" s="14"/>
      <c r="DI298" s="14"/>
      <c r="DJ298" s="14"/>
    </row>
    <row r="299" spans="4:114" x14ac:dyDescent="0.25">
      <c r="D299" s="14"/>
      <c r="E299" s="15"/>
      <c r="F299" s="14"/>
      <c r="G299" s="14"/>
      <c r="H299" s="14"/>
      <c r="I299" s="14"/>
      <c r="J299" s="14"/>
      <c r="K299" s="25"/>
      <c r="L299" s="34"/>
      <c r="M299" s="34"/>
      <c r="N299" s="9"/>
      <c r="O299" s="9"/>
      <c r="P299" s="9"/>
      <c r="Q299" s="9"/>
      <c r="R299" s="9"/>
      <c r="S299" s="26"/>
      <c r="T299" s="14"/>
      <c r="U299" s="14"/>
      <c r="V299" s="14"/>
      <c r="W299" s="14"/>
      <c r="X299" s="14"/>
      <c r="Y299" s="14"/>
      <c r="Z299" s="25"/>
      <c r="AA299" s="34"/>
      <c r="AB299" s="37"/>
      <c r="AC299" s="36" t="str">
        <f t="shared" si="4"/>
        <v/>
      </c>
      <c r="AD299" s="9"/>
      <c r="AE299" s="9"/>
      <c r="AF299" s="9"/>
      <c r="AG299" s="9"/>
      <c r="AH299" s="9"/>
      <c r="AI299" s="26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4"/>
      <c r="DF299" s="14"/>
      <c r="DG299" s="14"/>
      <c r="DH299" s="14"/>
      <c r="DI299" s="14"/>
      <c r="DJ299" s="14"/>
    </row>
    <row r="300" spans="4:114" x14ac:dyDescent="0.25">
      <c r="D300" s="14"/>
      <c r="E300" s="15"/>
      <c r="F300" s="14"/>
      <c r="G300" s="14"/>
      <c r="H300" s="14"/>
      <c r="I300" s="14"/>
      <c r="J300" s="14"/>
      <c r="K300" s="25"/>
      <c r="L300" s="34"/>
      <c r="M300" s="34"/>
      <c r="N300" s="9"/>
      <c r="O300" s="9"/>
      <c r="P300" s="9"/>
      <c r="Q300" s="9"/>
      <c r="R300" s="9"/>
      <c r="S300" s="26"/>
      <c r="T300" s="14"/>
      <c r="U300" s="14"/>
      <c r="V300" s="14"/>
      <c r="W300" s="14"/>
      <c r="X300" s="14"/>
      <c r="Y300" s="14"/>
      <c r="Z300" s="25"/>
      <c r="AA300" s="34"/>
      <c r="AB300" s="37"/>
      <c r="AC300" s="36" t="str">
        <f t="shared" si="4"/>
        <v/>
      </c>
      <c r="AD300" s="9"/>
      <c r="AE300" s="9"/>
      <c r="AF300" s="9"/>
      <c r="AG300" s="9"/>
      <c r="AH300" s="9"/>
      <c r="AI300" s="26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4"/>
      <c r="DF300" s="14"/>
      <c r="DG300" s="14"/>
      <c r="DH300" s="14"/>
      <c r="DI300" s="14"/>
      <c r="DJ300" s="14"/>
    </row>
    <row r="301" spans="4:114" x14ac:dyDescent="0.25">
      <c r="D301" s="14"/>
      <c r="E301" s="15"/>
      <c r="F301" s="14"/>
      <c r="G301" s="14"/>
      <c r="H301" s="14"/>
      <c r="I301" s="14"/>
      <c r="J301" s="14"/>
      <c r="K301" s="25"/>
      <c r="L301" s="34"/>
      <c r="M301" s="34"/>
      <c r="N301" s="9"/>
      <c r="O301" s="9"/>
      <c r="P301" s="9"/>
      <c r="Q301" s="9"/>
      <c r="R301" s="9"/>
      <c r="S301" s="26"/>
      <c r="T301" s="14"/>
      <c r="U301" s="14"/>
      <c r="V301" s="14"/>
      <c r="W301" s="14"/>
      <c r="X301" s="14"/>
      <c r="Y301" s="14"/>
      <c r="Z301" s="25"/>
      <c r="AA301" s="34"/>
      <c r="AB301" s="37"/>
      <c r="AC301" s="36" t="str">
        <f t="shared" si="4"/>
        <v/>
      </c>
      <c r="AD301" s="9"/>
      <c r="AE301" s="9"/>
      <c r="AF301" s="9"/>
      <c r="AG301" s="9"/>
      <c r="AH301" s="9"/>
      <c r="AI301" s="26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14"/>
      <c r="CC301" s="14"/>
      <c r="CD301" s="14"/>
      <c r="CE301" s="14"/>
      <c r="CF301" s="14"/>
      <c r="CG301" s="14"/>
      <c r="CH301" s="14"/>
      <c r="CI301" s="14"/>
      <c r="CJ301" s="14"/>
      <c r="CK301" s="14"/>
      <c r="CL301" s="14"/>
      <c r="CM301" s="14"/>
      <c r="CN301" s="14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4"/>
      <c r="DF301" s="14"/>
      <c r="DG301" s="14"/>
      <c r="DH301" s="14"/>
      <c r="DI301" s="14"/>
      <c r="DJ301" s="14"/>
    </row>
    <row r="302" spans="4:114" x14ac:dyDescent="0.25">
      <c r="D302" s="14"/>
      <c r="E302" s="15"/>
      <c r="F302" s="14"/>
      <c r="G302" s="14"/>
      <c r="H302" s="14"/>
      <c r="I302" s="14"/>
      <c r="J302" s="14"/>
      <c r="K302" s="25"/>
      <c r="L302" s="34"/>
      <c r="M302" s="34"/>
      <c r="N302" s="9"/>
      <c r="O302" s="9"/>
      <c r="P302" s="9"/>
      <c r="Q302" s="9"/>
      <c r="R302" s="9"/>
      <c r="S302" s="26"/>
      <c r="T302" s="14"/>
      <c r="U302" s="14"/>
      <c r="V302" s="14"/>
      <c r="W302" s="14"/>
      <c r="X302" s="14"/>
      <c r="Y302" s="14"/>
      <c r="Z302" s="25"/>
      <c r="AA302" s="34"/>
      <c r="AB302" s="37"/>
      <c r="AC302" s="36" t="str">
        <f t="shared" si="4"/>
        <v/>
      </c>
      <c r="AD302" s="9"/>
      <c r="AE302" s="9"/>
      <c r="AF302" s="9"/>
      <c r="AG302" s="9"/>
      <c r="AH302" s="9"/>
      <c r="AI302" s="26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14"/>
      <c r="CC302" s="14"/>
      <c r="CD302" s="14"/>
      <c r="CE302" s="14"/>
      <c r="CF302" s="14"/>
      <c r="CG302" s="14"/>
      <c r="CH302" s="14"/>
      <c r="CI302" s="14"/>
      <c r="CJ302" s="14"/>
      <c r="CK302" s="14"/>
      <c r="CL302" s="14"/>
      <c r="CM302" s="14"/>
      <c r="CN302" s="14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4"/>
      <c r="DF302" s="14"/>
      <c r="DG302" s="14"/>
      <c r="DH302" s="14"/>
      <c r="DI302" s="14"/>
      <c r="DJ302" s="14"/>
    </row>
    <row r="303" spans="4:114" x14ac:dyDescent="0.25">
      <c r="D303" s="14"/>
      <c r="E303" s="15"/>
      <c r="F303" s="14"/>
      <c r="G303" s="14"/>
      <c r="H303" s="14"/>
      <c r="I303" s="14"/>
      <c r="J303" s="14"/>
      <c r="K303" s="25"/>
      <c r="L303" s="34"/>
      <c r="M303" s="34"/>
      <c r="N303" s="9"/>
      <c r="O303" s="9"/>
      <c r="P303" s="9"/>
      <c r="Q303" s="9"/>
      <c r="R303" s="9"/>
      <c r="S303" s="26"/>
      <c r="T303" s="14"/>
      <c r="U303" s="14"/>
      <c r="V303" s="14"/>
      <c r="W303" s="14"/>
      <c r="X303" s="14"/>
      <c r="Y303" s="14"/>
      <c r="Z303" s="25"/>
      <c r="AA303" s="34"/>
      <c r="AB303" s="37"/>
      <c r="AC303" s="36" t="str">
        <f t="shared" si="4"/>
        <v/>
      </c>
      <c r="AD303" s="9"/>
      <c r="AE303" s="9"/>
      <c r="AF303" s="9"/>
      <c r="AG303" s="9"/>
      <c r="AH303" s="9"/>
      <c r="AI303" s="26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14"/>
      <c r="CC303" s="14"/>
      <c r="CD303" s="14"/>
      <c r="CE303" s="14"/>
      <c r="CF303" s="14"/>
      <c r="CG303" s="14"/>
      <c r="CH303" s="14"/>
      <c r="CI303" s="14"/>
      <c r="CJ303" s="14"/>
      <c r="CK303" s="14"/>
      <c r="CL303" s="14"/>
      <c r="CM303" s="14"/>
      <c r="CN303" s="14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4"/>
      <c r="DF303" s="14"/>
      <c r="DG303" s="14"/>
      <c r="DH303" s="14"/>
      <c r="DI303" s="14"/>
      <c r="DJ303" s="14"/>
    </row>
    <row r="304" spans="4:114" x14ac:dyDescent="0.25">
      <c r="D304" s="14"/>
      <c r="E304" s="15"/>
      <c r="F304" s="14"/>
      <c r="G304" s="14"/>
      <c r="H304" s="14"/>
      <c r="I304" s="14"/>
      <c r="J304" s="14"/>
      <c r="K304" s="25"/>
      <c r="L304" s="34"/>
      <c r="M304" s="34"/>
      <c r="N304" s="9"/>
      <c r="O304" s="9"/>
      <c r="P304" s="9"/>
      <c r="Q304" s="9"/>
      <c r="R304" s="9"/>
      <c r="S304" s="26"/>
      <c r="T304" s="14"/>
      <c r="U304" s="14"/>
      <c r="V304" s="14"/>
      <c r="W304" s="14"/>
      <c r="X304" s="14"/>
      <c r="Y304" s="14"/>
      <c r="Z304" s="25"/>
      <c r="AA304" s="34"/>
      <c r="AB304" s="37"/>
      <c r="AC304" s="36" t="str">
        <f t="shared" si="4"/>
        <v/>
      </c>
      <c r="AD304" s="9"/>
      <c r="AE304" s="9"/>
      <c r="AF304" s="9"/>
      <c r="AG304" s="9"/>
      <c r="AH304" s="9"/>
      <c r="AI304" s="26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</row>
    <row r="305" spans="4:114" x14ac:dyDescent="0.25">
      <c r="D305" s="14"/>
      <c r="E305" s="15"/>
      <c r="F305" s="14"/>
      <c r="G305" s="14"/>
      <c r="H305" s="14"/>
      <c r="I305" s="14"/>
      <c r="J305" s="14"/>
      <c r="K305" s="25"/>
      <c r="L305" s="34"/>
      <c r="M305" s="34"/>
      <c r="N305" s="9"/>
      <c r="O305" s="9"/>
      <c r="P305" s="9"/>
      <c r="Q305" s="9"/>
      <c r="R305" s="9"/>
      <c r="S305" s="26"/>
      <c r="T305" s="14"/>
      <c r="U305" s="14"/>
      <c r="V305" s="14"/>
      <c r="W305" s="14"/>
      <c r="X305" s="14"/>
      <c r="Y305" s="14"/>
      <c r="Z305" s="25"/>
      <c r="AA305" s="34"/>
      <c r="AB305" s="37"/>
      <c r="AC305" s="36" t="str">
        <f t="shared" si="4"/>
        <v/>
      </c>
      <c r="AD305" s="9"/>
      <c r="AE305" s="9"/>
      <c r="AF305" s="9"/>
      <c r="AG305" s="9"/>
      <c r="AH305" s="9"/>
      <c r="AI305" s="26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</row>
    <row r="306" spans="4:114" x14ac:dyDescent="0.25">
      <c r="D306" s="14"/>
      <c r="E306" s="15"/>
      <c r="F306" s="14"/>
      <c r="G306" s="14"/>
      <c r="H306" s="14"/>
      <c r="I306" s="14"/>
      <c r="J306" s="14"/>
      <c r="K306" s="25"/>
      <c r="L306" s="34"/>
      <c r="M306" s="34"/>
      <c r="N306" s="9"/>
      <c r="O306" s="9"/>
      <c r="P306" s="9"/>
      <c r="Q306" s="9"/>
      <c r="R306" s="9"/>
      <c r="S306" s="26"/>
      <c r="T306" s="14"/>
      <c r="U306" s="14"/>
      <c r="V306" s="14"/>
      <c r="W306" s="14"/>
      <c r="X306" s="14"/>
      <c r="Y306" s="14"/>
      <c r="Z306" s="25"/>
      <c r="AA306" s="34"/>
      <c r="AB306" s="37"/>
      <c r="AC306" s="36" t="str">
        <f t="shared" si="4"/>
        <v/>
      </c>
      <c r="AD306" s="9"/>
      <c r="AE306" s="9"/>
      <c r="AF306" s="9"/>
      <c r="AG306" s="9"/>
      <c r="AH306" s="9"/>
      <c r="AI306" s="26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</row>
    <row r="307" spans="4:114" x14ac:dyDescent="0.25">
      <c r="D307" s="14"/>
      <c r="E307" s="15"/>
      <c r="F307" s="14"/>
      <c r="G307" s="14"/>
      <c r="H307" s="14"/>
      <c r="I307" s="14"/>
      <c r="J307" s="14"/>
      <c r="K307" s="25"/>
      <c r="L307" s="34"/>
      <c r="M307" s="34"/>
      <c r="N307" s="9"/>
      <c r="O307" s="9"/>
      <c r="P307" s="9"/>
      <c r="Q307" s="9"/>
      <c r="R307" s="9"/>
      <c r="S307" s="26"/>
      <c r="T307" s="14"/>
      <c r="U307" s="14"/>
      <c r="V307" s="14"/>
      <c r="W307" s="14"/>
      <c r="X307" s="14"/>
      <c r="Y307" s="14"/>
      <c r="Z307" s="25"/>
      <c r="AA307" s="34"/>
      <c r="AB307" s="37"/>
      <c r="AC307" s="36" t="str">
        <f t="shared" si="4"/>
        <v/>
      </c>
      <c r="AD307" s="9"/>
      <c r="AE307" s="9"/>
      <c r="AF307" s="9"/>
      <c r="AG307" s="9"/>
      <c r="AH307" s="9"/>
      <c r="AI307" s="26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14"/>
      <c r="CC307" s="14"/>
      <c r="CD307" s="14"/>
      <c r="CE307" s="14"/>
      <c r="CF307" s="14"/>
      <c r="CG307" s="14"/>
      <c r="CH307" s="14"/>
      <c r="CI307" s="14"/>
      <c r="CJ307" s="14"/>
      <c r="CK307" s="14"/>
      <c r="CL307" s="14"/>
      <c r="CM307" s="14"/>
      <c r="CN307" s="14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4"/>
      <c r="DF307" s="14"/>
      <c r="DG307" s="14"/>
      <c r="DH307" s="14"/>
      <c r="DI307" s="14"/>
      <c r="DJ307" s="14"/>
    </row>
    <row r="308" spans="4:114" x14ac:dyDescent="0.25">
      <c r="D308" s="14"/>
      <c r="E308" s="15"/>
      <c r="F308" s="14"/>
      <c r="G308" s="14"/>
      <c r="H308" s="14"/>
      <c r="I308" s="14"/>
      <c r="J308" s="14"/>
      <c r="K308" s="25"/>
      <c r="L308" s="34"/>
      <c r="M308" s="34"/>
      <c r="N308" s="9"/>
      <c r="O308" s="9"/>
      <c r="P308" s="9"/>
      <c r="Q308" s="9"/>
      <c r="R308" s="9"/>
      <c r="S308" s="26"/>
      <c r="T308" s="14"/>
      <c r="U308" s="14"/>
      <c r="V308" s="14"/>
      <c r="W308" s="14"/>
      <c r="X308" s="14"/>
      <c r="Y308" s="14"/>
      <c r="Z308" s="25"/>
      <c r="AA308" s="34"/>
      <c r="AB308" s="37"/>
      <c r="AC308" s="36" t="str">
        <f t="shared" si="4"/>
        <v/>
      </c>
      <c r="AD308" s="9"/>
      <c r="AE308" s="9"/>
      <c r="AF308" s="9"/>
      <c r="AG308" s="9"/>
      <c r="AH308" s="9"/>
      <c r="AI308" s="26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14"/>
      <c r="CC308" s="14"/>
      <c r="CD308" s="14"/>
      <c r="CE308" s="14"/>
      <c r="CF308" s="14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4"/>
      <c r="DF308" s="14"/>
      <c r="DG308" s="14"/>
      <c r="DH308" s="14"/>
      <c r="DI308" s="14"/>
      <c r="DJ308" s="14"/>
    </row>
    <row r="309" spans="4:114" x14ac:dyDescent="0.25">
      <c r="D309" s="14"/>
      <c r="E309" s="15"/>
      <c r="F309" s="14"/>
      <c r="G309" s="14"/>
      <c r="H309" s="14"/>
      <c r="I309" s="14"/>
      <c r="J309" s="14"/>
      <c r="K309" s="25"/>
      <c r="L309" s="34"/>
      <c r="M309" s="34"/>
      <c r="N309" s="9"/>
      <c r="O309" s="9"/>
      <c r="P309" s="9"/>
      <c r="Q309" s="9"/>
      <c r="R309" s="9"/>
      <c r="S309" s="26"/>
      <c r="T309" s="14"/>
      <c r="U309" s="14"/>
      <c r="V309" s="14"/>
      <c r="W309" s="14"/>
      <c r="X309" s="14"/>
      <c r="Y309" s="14"/>
      <c r="Z309" s="25"/>
      <c r="AA309" s="34"/>
      <c r="AB309" s="37"/>
      <c r="AC309" s="36" t="str">
        <f t="shared" si="4"/>
        <v/>
      </c>
      <c r="AD309" s="9"/>
      <c r="AE309" s="9"/>
      <c r="AF309" s="9"/>
      <c r="AG309" s="9"/>
      <c r="AH309" s="9"/>
      <c r="AI309" s="26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</row>
    <row r="310" spans="4:114" x14ac:dyDescent="0.25">
      <c r="D310" s="14"/>
      <c r="E310" s="15"/>
      <c r="F310" s="14"/>
      <c r="G310" s="14"/>
      <c r="H310" s="14"/>
      <c r="I310" s="14"/>
      <c r="J310" s="14"/>
      <c r="K310" s="25"/>
      <c r="L310" s="34"/>
      <c r="M310" s="34"/>
      <c r="N310" s="9"/>
      <c r="O310" s="9"/>
      <c r="P310" s="9"/>
      <c r="Q310" s="9"/>
      <c r="R310" s="9"/>
      <c r="S310" s="26"/>
      <c r="T310" s="14"/>
      <c r="U310" s="14"/>
      <c r="V310" s="14"/>
      <c r="W310" s="14"/>
      <c r="X310" s="14"/>
      <c r="Y310" s="14"/>
      <c r="Z310" s="25"/>
      <c r="AA310" s="34"/>
      <c r="AB310" s="37"/>
      <c r="AC310" s="36" t="str">
        <f t="shared" si="4"/>
        <v/>
      </c>
      <c r="AD310" s="9"/>
      <c r="AE310" s="9"/>
      <c r="AF310" s="9"/>
      <c r="AG310" s="9"/>
      <c r="AH310" s="9"/>
      <c r="AI310" s="26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</row>
    <row r="311" spans="4:114" x14ac:dyDescent="0.25">
      <c r="D311" s="14"/>
      <c r="E311" s="15"/>
      <c r="F311" s="14"/>
      <c r="G311" s="14"/>
      <c r="H311" s="14"/>
      <c r="I311" s="14"/>
      <c r="J311" s="14"/>
      <c r="K311" s="25"/>
      <c r="L311" s="34"/>
      <c r="M311" s="34"/>
      <c r="N311" s="9"/>
      <c r="O311" s="9"/>
      <c r="P311" s="9"/>
      <c r="Q311" s="9"/>
      <c r="R311" s="9"/>
      <c r="S311" s="26"/>
      <c r="T311" s="14"/>
      <c r="U311" s="14"/>
      <c r="V311" s="14"/>
      <c r="W311" s="14"/>
      <c r="X311" s="14"/>
      <c r="Y311" s="14"/>
      <c r="Z311" s="25"/>
      <c r="AA311" s="34"/>
      <c r="AB311" s="37"/>
      <c r="AC311" s="36" t="str">
        <f t="shared" si="4"/>
        <v/>
      </c>
      <c r="AD311" s="9"/>
      <c r="AE311" s="9"/>
      <c r="AF311" s="9"/>
      <c r="AG311" s="9"/>
      <c r="AH311" s="9"/>
      <c r="AI311" s="26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14"/>
      <c r="CC311" s="14"/>
      <c r="CD311" s="14"/>
      <c r="CE311" s="14"/>
      <c r="CF311" s="14"/>
      <c r="CG311" s="14"/>
      <c r="CH311" s="14"/>
      <c r="CI311" s="14"/>
      <c r="CJ311" s="14"/>
      <c r="CK311" s="14"/>
      <c r="CL311" s="14"/>
      <c r="CM311" s="14"/>
      <c r="CN311" s="14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  <c r="DG311" s="14"/>
      <c r="DH311" s="14"/>
      <c r="DI311" s="14"/>
      <c r="DJ311" s="14"/>
    </row>
    <row r="312" spans="4:114" x14ac:dyDescent="0.25">
      <c r="D312" s="14"/>
      <c r="E312" s="15"/>
      <c r="F312" s="14"/>
      <c r="G312" s="14"/>
      <c r="H312" s="14"/>
      <c r="I312" s="14"/>
      <c r="J312" s="14"/>
      <c r="K312" s="25"/>
      <c r="L312" s="34"/>
      <c r="M312" s="34"/>
      <c r="N312" s="9"/>
      <c r="O312" s="9"/>
      <c r="P312" s="9"/>
      <c r="Q312" s="9"/>
      <c r="R312" s="9"/>
      <c r="S312" s="26"/>
      <c r="T312" s="14"/>
      <c r="U312" s="14"/>
      <c r="V312" s="14"/>
      <c r="W312" s="14"/>
      <c r="X312" s="14"/>
      <c r="Y312" s="14"/>
      <c r="Z312" s="25"/>
      <c r="AA312" s="34"/>
      <c r="AB312" s="37"/>
      <c r="AC312" s="36" t="str">
        <f t="shared" si="4"/>
        <v/>
      </c>
      <c r="AD312" s="9"/>
      <c r="AE312" s="9"/>
      <c r="AF312" s="9"/>
      <c r="AG312" s="9"/>
      <c r="AH312" s="9"/>
      <c r="AI312" s="26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14"/>
      <c r="CC312" s="14"/>
      <c r="CD312" s="14"/>
      <c r="CE312" s="14"/>
      <c r="CF312" s="14"/>
      <c r="CG312" s="14"/>
      <c r="CH312" s="14"/>
      <c r="CI312" s="14"/>
      <c r="CJ312" s="14"/>
      <c r="CK312" s="14"/>
      <c r="CL312" s="14"/>
      <c r="CM312" s="14"/>
      <c r="CN312" s="14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  <c r="DG312" s="14"/>
      <c r="DH312" s="14"/>
      <c r="DI312" s="14"/>
      <c r="DJ312" s="14"/>
    </row>
    <row r="313" spans="4:114" x14ac:dyDescent="0.25">
      <c r="D313" s="14"/>
      <c r="E313" s="15"/>
      <c r="F313" s="14"/>
      <c r="G313" s="14"/>
      <c r="H313" s="14"/>
      <c r="I313" s="14"/>
      <c r="J313" s="14"/>
      <c r="K313" s="25"/>
      <c r="L313" s="34"/>
      <c r="M313" s="34"/>
      <c r="N313" s="9"/>
      <c r="O313" s="9"/>
      <c r="P313" s="9"/>
      <c r="Q313" s="9"/>
      <c r="R313" s="9"/>
      <c r="S313" s="26"/>
      <c r="T313" s="14"/>
      <c r="U313" s="14"/>
      <c r="V313" s="14"/>
      <c r="W313" s="14"/>
      <c r="X313" s="14"/>
      <c r="Y313" s="14"/>
      <c r="Z313" s="25"/>
      <c r="AA313" s="34"/>
      <c r="AB313" s="37"/>
      <c r="AC313" s="36" t="str">
        <f t="shared" si="4"/>
        <v/>
      </c>
      <c r="AD313" s="9"/>
      <c r="AE313" s="9"/>
      <c r="AF313" s="9"/>
      <c r="AG313" s="9"/>
      <c r="AH313" s="9"/>
      <c r="AI313" s="26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14"/>
      <c r="CC313" s="14"/>
      <c r="CD313" s="14"/>
      <c r="CE313" s="14"/>
      <c r="CF313" s="14"/>
      <c r="CG313" s="14"/>
      <c r="CH313" s="14"/>
      <c r="CI313" s="14"/>
      <c r="CJ313" s="14"/>
      <c r="CK313" s="14"/>
      <c r="CL313" s="14"/>
      <c r="CM313" s="14"/>
      <c r="CN313" s="14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  <c r="DG313" s="14"/>
      <c r="DH313" s="14"/>
      <c r="DI313" s="14"/>
      <c r="DJ313" s="14"/>
    </row>
    <row r="314" spans="4:114" x14ac:dyDescent="0.25">
      <c r="D314" s="14"/>
      <c r="E314" s="15"/>
      <c r="F314" s="14"/>
      <c r="G314" s="14"/>
      <c r="H314" s="14"/>
      <c r="I314" s="14"/>
      <c r="J314" s="14"/>
      <c r="K314" s="25"/>
      <c r="L314" s="34"/>
      <c r="M314" s="34"/>
      <c r="N314" s="9"/>
      <c r="O314" s="9"/>
      <c r="P314" s="9"/>
      <c r="Q314" s="9"/>
      <c r="R314" s="9"/>
      <c r="S314" s="26"/>
      <c r="T314" s="14"/>
      <c r="U314" s="14"/>
      <c r="V314" s="14"/>
      <c r="W314" s="14"/>
      <c r="X314" s="14"/>
      <c r="Y314" s="14"/>
      <c r="Z314" s="25"/>
      <c r="AA314" s="34"/>
      <c r="AB314" s="37"/>
      <c r="AC314" s="36" t="str">
        <f t="shared" si="4"/>
        <v/>
      </c>
      <c r="AD314" s="9"/>
      <c r="AE314" s="9"/>
      <c r="AF314" s="9"/>
      <c r="AG314" s="9"/>
      <c r="AH314" s="9"/>
      <c r="AI314" s="26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14"/>
      <c r="CC314" s="14"/>
      <c r="CD314" s="14"/>
      <c r="CE314" s="14"/>
      <c r="CF314" s="14"/>
      <c r="CG314" s="14"/>
      <c r="CH314" s="14"/>
      <c r="CI314" s="14"/>
      <c r="CJ314" s="14"/>
      <c r="CK314" s="14"/>
      <c r="CL314" s="14"/>
      <c r="CM314" s="14"/>
      <c r="CN314" s="14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4"/>
      <c r="DF314" s="14"/>
      <c r="DG314" s="14"/>
      <c r="DH314" s="14"/>
      <c r="DI314" s="14"/>
      <c r="DJ314" s="14"/>
    </row>
    <row r="315" spans="4:114" x14ac:dyDescent="0.25">
      <c r="D315" s="14"/>
      <c r="E315" s="15"/>
      <c r="F315" s="14"/>
      <c r="G315" s="14"/>
      <c r="H315" s="14"/>
      <c r="I315" s="14"/>
      <c r="J315" s="14"/>
      <c r="K315" s="25"/>
      <c r="L315" s="34"/>
      <c r="M315" s="34"/>
      <c r="N315" s="9"/>
      <c r="O315" s="9"/>
      <c r="P315" s="9"/>
      <c r="Q315" s="9"/>
      <c r="R315" s="9"/>
      <c r="S315" s="26"/>
      <c r="T315" s="14"/>
      <c r="U315" s="14"/>
      <c r="V315" s="14"/>
      <c r="W315" s="14"/>
      <c r="X315" s="14"/>
      <c r="Y315" s="14"/>
      <c r="Z315" s="25"/>
      <c r="AA315" s="34"/>
      <c r="AB315" s="37"/>
      <c r="AC315" s="36" t="str">
        <f t="shared" si="4"/>
        <v/>
      </c>
      <c r="AD315" s="9"/>
      <c r="AE315" s="9"/>
      <c r="AF315" s="9"/>
      <c r="AG315" s="9"/>
      <c r="AH315" s="9"/>
      <c r="AI315" s="26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14"/>
      <c r="CC315" s="14"/>
      <c r="CD315" s="14"/>
      <c r="CE315" s="14"/>
      <c r="CF315" s="14"/>
      <c r="CG315" s="14"/>
      <c r="CH315" s="14"/>
      <c r="CI315" s="14"/>
      <c r="CJ315" s="14"/>
      <c r="CK315" s="14"/>
      <c r="CL315" s="14"/>
      <c r="CM315" s="14"/>
      <c r="CN315" s="14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4"/>
      <c r="DF315" s="14"/>
      <c r="DG315" s="14"/>
      <c r="DH315" s="14"/>
      <c r="DI315" s="14"/>
      <c r="DJ315" s="14"/>
    </row>
    <row r="316" spans="4:114" x14ac:dyDescent="0.25">
      <c r="D316" s="14"/>
      <c r="E316" s="15"/>
      <c r="F316" s="14"/>
      <c r="G316" s="14"/>
      <c r="H316" s="14"/>
      <c r="I316" s="14"/>
      <c r="J316" s="14"/>
      <c r="K316" s="25"/>
      <c r="L316" s="34"/>
      <c r="M316" s="34"/>
      <c r="N316" s="9"/>
      <c r="O316" s="9"/>
      <c r="P316" s="9"/>
      <c r="Q316" s="9"/>
      <c r="R316" s="9"/>
      <c r="S316" s="26"/>
      <c r="T316" s="14"/>
      <c r="U316" s="14"/>
      <c r="V316" s="14"/>
      <c r="W316" s="14"/>
      <c r="X316" s="14"/>
      <c r="Y316" s="14"/>
      <c r="Z316" s="25"/>
      <c r="AA316" s="34"/>
      <c r="AB316" s="37"/>
      <c r="AC316" s="36" t="str">
        <f t="shared" si="4"/>
        <v/>
      </c>
      <c r="AD316" s="9"/>
      <c r="AE316" s="9"/>
      <c r="AF316" s="9"/>
      <c r="AG316" s="9"/>
      <c r="AH316" s="9"/>
      <c r="AI316" s="26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14"/>
      <c r="CC316" s="14"/>
      <c r="CD316" s="14"/>
      <c r="CE316" s="14"/>
      <c r="CF316" s="14"/>
      <c r="CG316" s="14"/>
      <c r="CH316" s="14"/>
      <c r="CI316" s="14"/>
      <c r="CJ316" s="14"/>
      <c r="CK316" s="14"/>
      <c r="CL316" s="14"/>
      <c r="CM316" s="14"/>
      <c r="CN316" s="14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  <c r="DG316" s="14"/>
      <c r="DH316" s="14"/>
      <c r="DI316" s="14"/>
      <c r="DJ316" s="14"/>
    </row>
    <row r="317" spans="4:114" x14ac:dyDescent="0.25">
      <c r="D317" s="14"/>
      <c r="E317" s="15"/>
      <c r="F317" s="14"/>
      <c r="G317" s="14"/>
      <c r="H317" s="14"/>
      <c r="I317" s="14"/>
      <c r="J317" s="14"/>
      <c r="K317" s="25"/>
      <c r="L317" s="34"/>
      <c r="M317" s="34"/>
      <c r="N317" s="9"/>
      <c r="O317" s="9"/>
      <c r="P317" s="9"/>
      <c r="Q317" s="9"/>
      <c r="R317" s="9"/>
      <c r="S317" s="26"/>
      <c r="T317" s="14"/>
      <c r="U317" s="14"/>
      <c r="V317" s="14"/>
      <c r="W317" s="14"/>
      <c r="X317" s="14"/>
      <c r="Y317" s="14"/>
      <c r="Z317" s="25"/>
      <c r="AA317" s="34"/>
      <c r="AB317" s="37"/>
      <c r="AC317" s="36" t="str">
        <f t="shared" si="4"/>
        <v/>
      </c>
      <c r="AD317" s="9"/>
      <c r="AE317" s="9"/>
      <c r="AF317" s="9"/>
      <c r="AG317" s="9"/>
      <c r="AH317" s="9"/>
      <c r="AI317" s="26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14"/>
      <c r="CC317" s="14"/>
      <c r="CD317" s="14"/>
      <c r="CE317" s="14"/>
      <c r="CF317" s="14"/>
      <c r="CG317" s="14"/>
      <c r="CH317" s="14"/>
      <c r="CI317" s="14"/>
      <c r="CJ317" s="14"/>
      <c r="CK317" s="14"/>
      <c r="CL317" s="14"/>
      <c r="CM317" s="14"/>
      <c r="CN317" s="14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4"/>
      <c r="DF317" s="14"/>
      <c r="DG317" s="14"/>
      <c r="DH317" s="14"/>
      <c r="DI317" s="14"/>
      <c r="DJ317" s="14"/>
    </row>
    <row r="318" spans="4:114" x14ac:dyDescent="0.25">
      <c r="D318" s="14"/>
      <c r="E318" s="15"/>
      <c r="F318" s="14"/>
      <c r="G318" s="14"/>
      <c r="H318" s="14"/>
      <c r="I318" s="14"/>
      <c r="J318" s="14"/>
      <c r="K318" s="25"/>
      <c r="L318" s="34"/>
      <c r="M318" s="34"/>
      <c r="N318" s="9"/>
      <c r="O318" s="9"/>
      <c r="P318" s="9"/>
      <c r="Q318" s="9"/>
      <c r="R318" s="9"/>
      <c r="S318" s="26"/>
      <c r="T318" s="14"/>
      <c r="U318" s="14"/>
      <c r="V318" s="14"/>
      <c r="W318" s="14"/>
      <c r="X318" s="14"/>
      <c r="Y318" s="14"/>
      <c r="Z318" s="25"/>
      <c r="AA318" s="34"/>
      <c r="AB318" s="37"/>
      <c r="AC318" s="36" t="str">
        <f t="shared" si="4"/>
        <v/>
      </c>
      <c r="AD318" s="9"/>
      <c r="AE318" s="9"/>
      <c r="AF318" s="9"/>
      <c r="AG318" s="9"/>
      <c r="AH318" s="9"/>
      <c r="AI318" s="26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14"/>
      <c r="CC318" s="14"/>
      <c r="CD318" s="14"/>
      <c r="CE318" s="14"/>
      <c r="CF318" s="14"/>
      <c r="CG318" s="14"/>
      <c r="CH318" s="14"/>
      <c r="CI318" s="14"/>
      <c r="CJ318" s="14"/>
      <c r="CK318" s="14"/>
      <c r="CL318" s="14"/>
      <c r="CM318" s="14"/>
      <c r="CN318" s="14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4"/>
      <c r="DF318" s="14"/>
      <c r="DG318" s="14"/>
      <c r="DH318" s="14"/>
      <c r="DI318" s="14"/>
      <c r="DJ318" s="14"/>
    </row>
    <row r="319" spans="4:114" x14ac:dyDescent="0.25">
      <c r="D319" s="14"/>
      <c r="E319" s="15"/>
      <c r="F319" s="14"/>
      <c r="G319" s="14"/>
      <c r="H319" s="14"/>
      <c r="I319" s="14"/>
      <c r="J319" s="14"/>
      <c r="K319" s="25"/>
      <c r="L319" s="34"/>
      <c r="M319" s="34"/>
      <c r="N319" s="9"/>
      <c r="O319" s="9"/>
      <c r="P319" s="9"/>
      <c r="Q319" s="9"/>
      <c r="R319" s="9"/>
      <c r="S319" s="26"/>
      <c r="T319" s="14"/>
      <c r="U319" s="14"/>
      <c r="V319" s="14"/>
      <c r="W319" s="14"/>
      <c r="X319" s="14"/>
      <c r="Y319" s="14"/>
      <c r="Z319" s="25"/>
      <c r="AA319" s="34"/>
      <c r="AB319" s="37"/>
      <c r="AC319" s="36" t="str">
        <f t="shared" si="4"/>
        <v/>
      </c>
      <c r="AD319" s="9"/>
      <c r="AE319" s="9"/>
      <c r="AF319" s="9"/>
      <c r="AG319" s="9"/>
      <c r="AH319" s="9"/>
      <c r="AI319" s="26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14"/>
      <c r="CC319" s="14"/>
      <c r="CD319" s="14"/>
      <c r="CE319" s="14"/>
      <c r="CF319" s="14"/>
      <c r="CG319" s="14"/>
      <c r="CH319" s="14"/>
      <c r="CI319" s="14"/>
      <c r="CJ319" s="14"/>
      <c r="CK319" s="14"/>
      <c r="CL319" s="14"/>
      <c r="CM319" s="14"/>
      <c r="CN319" s="14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4"/>
      <c r="DF319" s="14"/>
      <c r="DG319" s="14"/>
      <c r="DH319" s="14"/>
      <c r="DI319" s="14"/>
      <c r="DJ319" s="14"/>
    </row>
    <row r="320" spans="4:114" x14ac:dyDescent="0.25">
      <c r="D320" s="14"/>
      <c r="E320" s="15"/>
      <c r="F320" s="14"/>
      <c r="G320" s="14"/>
      <c r="H320" s="14"/>
      <c r="I320" s="14"/>
      <c r="J320" s="14"/>
      <c r="K320" s="25"/>
      <c r="L320" s="34"/>
      <c r="M320" s="34"/>
      <c r="N320" s="9"/>
      <c r="O320" s="9"/>
      <c r="P320" s="9"/>
      <c r="Q320" s="9"/>
      <c r="R320" s="9"/>
      <c r="S320" s="26"/>
      <c r="T320" s="14"/>
      <c r="U320" s="14"/>
      <c r="V320" s="14"/>
      <c r="W320" s="14"/>
      <c r="X320" s="14"/>
      <c r="Y320" s="14"/>
      <c r="Z320" s="25"/>
      <c r="AA320" s="34"/>
      <c r="AB320" s="37"/>
      <c r="AC320" s="36" t="str">
        <f t="shared" si="4"/>
        <v/>
      </c>
      <c r="AD320" s="9"/>
      <c r="AE320" s="9"/>
      <c r="AF320" s="9"/>
      <c r="AG320" s="9"/>
      <c r="AH320" s="9"/>
      <c r="AI320" s="26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14"/>
      <c r="CC320" s="14"/>
      <c r="CD320" s="14"/>
      <c r="CE320" s="14"/>
      <c r="CF320" s="14"/>
      <c r="CG320" s="14"/>
      <c r="CH320" s="14"/>
      <c r="CI320" s="14"/>
      <c r="CJ320" s="14"/>
      <c r="CK320" s="14"/>
      <c r="CL320" s="14"/>
      <c r="CM320" s="14"/>
      <c r="CN320" s="14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4"/>
      <c r="DF320" s="14"/>
      <c r="DG320" s="14"/>
      <c r="DH320" s="14"/>
      <c r="DI320" s="14"/>
      <c r="DJ320" s="14"/>
    </row>
    <row r="321" spans="4:114" x14ac:dyDescent="0.25">
      <c r="D321" s="14"/>
      <c r="E321" s="15"/>
      <c r="F321" s="14"/>
      <c r="G321" s="14"/>
      <c r="H321" s="14"/>
      <c r="I321" s="14"/>
      <c r="J321" s="14"/>
      <c r="K321" s="25"/>
      <c r="L321" s="34"/>
      <c r="M321" s="34"/>
      <c r="N321" s="9"/>
      <c r="O321" s="9"/>
      <c r="P321" s="9"/>
      <c r="Q321" s="9"/>
      <c r="R321" s="9"/>
      <c r="S321" s="26"/>
      <c r="T321" s="14"/>
      <c r="U321" s="14"/>
      <c r="V321" s="14"/>
      <c r="W321" s="14"/>
      <c r="X321" s="14"/>
      <c r="Y321" s="14"/>
      <c r="Z321" s="25"/>
      <c r="AA321" s="34"/>
      <c r="AB321" s="37"/>
      <c r="AC321" s="36" t="str">
        <f t="shared" si="4"/>
        <v/>
      </c>
      <c r="AD321" s="9"/>
      <c r="AE321" s="9"/>
      <c r="AF321" s="9"/>
      <c r="AG321" s="9"/>
      <c r="AH321" s="9"/>
      <c r="AI321" s="26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14"/>
      <c r="CC321" s="14"/>
      <c r="CD321" s="14"/>
      <c r="CE321" s="14"/>
      <c r="CF321" s="14"/>
      <c r="CG321" s="14"/>
      <c r="CH321" s="14"/>
      <c r="CI321" s="14"/>
      <c r="CJ321" s="14"/>
      <c r="CK321" s="14"/>
      <c r="CL321" s="14"/>
      <c r="CM321" s="14"/>
      <c r="CN321" s="14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4"/>
      <c r="DF321" s="14"/>
      <c r="DG321" s="14"/>
      <c r="DH321" s="14"/>
      <c r="DI321" s="14"/>
      <c r="DJ321" s="14"/>
    </row>
    <row r="322" spans="4:114" x14ac:dyDescent="0.25">
      <c r="D322" s="14"/>
      <c r="E322" s="15"/>
      <c r="F322" s="14"/>
      <c r="G322" s="14"/>
      <c r="H322" s="14"/>
      <c r="I322" s="14"/>
      <c r="J322" s="14"/>
      <c r="K322" s="25"/>
      <c r="L322" s="34"/>
      <c r="M322" s="34"/>
      <c r="N322" s="9"/>
      <c r="O322" s="9"/>
      <c r="P322" s="9"/>
      <c r="Q322" s="9"/>
      <c r="R322" s="9"/>
      <c r="S322" s="26"/>
      <c r="T322" s="14"/>
      <c r="U322" s="14"/>
      <c r="V322" s="14"/>
      <c r="W322" s="14"/>
      <c r="X322" s="14"/>
      <c r="Y322" s="14"/>
      <c r="Z322" s="25"/>
      <c r="AA322" s="34"/>
      <c r="AB322" s="37"/>
      <c r="AC322" s="36" t="str">
        <f t="shared" si="4"/>
        <v/>
      </c>
      <c r="AD322" s="9"/>
      <c r="AE322" s="9"/>
      <c r="AF322" s="9"/>
      <c r="AG322" s="9"/>
      <c r="AH322" s="9"/>
      <c r="AI322" s="26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14"/>
      <c r="CC322" s="14"/>
      <c r="CD322" s="14"/>
      <c r="CE322" s="14"/>
      <c r="CF322" s="14"/>
      <c r="CG322" s="14"/>
      <c r="CH322" s="14"/>
      <c r="CI322" s="14"/>
      <c r="CJ322" s="14"/>
      <c r="CK322" s="14"/>
      <c r="CL322" s="14"/>
      <c r="CM322" s="14"/>
      <c r="CN322" s="14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4"/>
      <c r="DF322" s="14"/>
      <c r="DG322" s="14"/>
      <c r="DH322" s="14"/>
      <c r="DI322" s="14"/>
      <c r="DJ322" s="14"/>
    </row>
    <row r="323" spans="4:114" x14ac:dyDescent="0.25">
      <c r="D323" s="14"/>
      <c r="E323" s="15"/>
      <c r="F323" s="14"/>
      <c r="G323" s="14"/>
      <c r="H323" s="14"/>
      <c r="I323" s="14"/>
      <c r="J323" s="14"/>
      <c r="K323" s="25"/>
      <c r="L323" s="34"/>
      <c r="M323" s="34"/>
      <c r="N323" s="9"/>
      <c r="O323" s="9"/>
      <c r="P323" s="9"/>
      <c r="Q323" s="9"/>
      <c r="R323" s="9"/>
      <c r="S323" s="26"/>
      <c r="T323" s="14"/>
      <c r="U323" s="14"/>
      <c r="V323" s="14"/>
      <c r="W323" s="14"/>
      <c r="X323" s="14"/>
      <c r="Y323" s="14"/>
      <c r="Z323" s="25"/>
      <c r="AA323" s="34"/>
      <c r="AB323" s="37"/>
      <c r="AC323" s="36" t="str">
        <f t="shared" si="4"/>
        <v/>
      </c>
      <c r="AD323" s="9"/>
      <c r="AE323" s="9"/>
      <c r="AF323" s="9"/>
      <c r="AG323" s="9"/>
      <c r="AH323" s="9"/>
      <c r="AI323" s="26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14"/>
      <c r="CC323" s="14"/>
      <c r="CD323" s="14"/>
      <c r="CE323" s="14"/>
      <c r="CF323" s="14"/>
      <c r="CG323" s="14"/>
      <c r="CH323" s="14"/>
      <c r="CI323" s="14"/>
      <c r="CJ323" s="14"/>
      <c r="CK323" s="14"/>
      <c r="CL323" s="14"/>
      <c r="CM323" s="14"/>
      <c r="CN323" s="14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4"/>
      <c r="DF323" s="14"/>
      <c r="DG323" s="14"/>
      <c r="DH323" s="14"/>
      <c r="DI323" s="14"/>
      <c r="DJ323" s="14"/>
    </row>
    <row r="324" spans="4:114" x14ac:dyDescent="0.25">
      <c r="D324" s="14"/>
      <c r="E324" s="15"/>
      <c r="F324" s="14"/>
      <c r="G324" s="14"/>
      <c r="H324" s="14"/>
      <c r="I324" s="14"/>
      <c r="J324" s="14"/>
      <c r="K324" s="25"/>
      <c r="L324" s="34"/>
      <c r="M324" s="34"/>
      <c r="N324" s="9"/>
      <c r="O324" s="9"/>
      <c r="P324" s="9"/>
      <c r="Q324" s="9"/>
      <c r="R324" s="9"/>
      <c r="S324" s="26"/>
      <c r="T324" s="14"/>
      <c r="U324" s="14"/>
      <c r="V324" s="14"/>
      <c r="W324" s="14"/>
      <c r="X324" s="14"/>
      <c r="Y324" s="14"/>
      <c r="Z324" s="25"/>
      <c r="AA324" s="34"/>
      <c r="AB324" s="37"/>
      <c r="AC324" s="36" t="str">
        <f t="shared" si="4"/>
        <v/>
      </c>
      <c r="AD324" s="9"/>
      <c r="AE324" s="9"/>
      <c r="AF324" s="9"/>
      <c r="AG324" s="9"/>
      <c r="AH324" s="9"/>
      <c r="AI324" s="26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  <c r="BV324" s="14"/>
      <c r="BW324" s="14"/>
      <c r="BX324" s="14"/>
      <c r="BY324" s="14"/>
      <c r="BZ324" s="14"/>
      <c r="CA324" s="14"/>
      <c r="CB324" s="14"/>
      <c r="CC324" s="14"/>
      <c r="CD324" s="14"/>
      <c r="CE324" s="14"/>
      <c r="CF324" s="14"/>
      <c r="CG324" s="14"/>
      <c r="CH324" s="14"/>
      <c r="CI324" s="14"/>
      <c r="CJ324" s="14"/>
      <c r="CK324" s="14"/>
      <c r="CL324" s="14"/>
      <c r="CM324" s="14"/>
      <c r="CN324" s="14"/>
      <c r="CO324" s="14"/>
      <c r="CP324" s="14"/>
      <c r="CQ324" s="14"/>
      <c r="CR324" s="14"/>
      <c r="CS324" s="14"/>
      <c r="CT324" s="14"/>
      <c r="CU324" s="14"/>
      <c r="CV324" s="14"/>
      <c r="CW324" s="14"/>
      <c r="CX324" s="14"/>
      <c r="CY324" s="14"/>
      <c r="CZ324" s="14"/>
      <c r="DA324" s="14"/>
      <c r="DB324" s="14"/>
      <c r="DC324" s="14"/>
      <c r="DD324" s="14"/>
      <c r="DE324" s="14"/>
      <c r="DF324" s="14"/>
      <c r="DG324" s="14"/>
      <c r="DH324" s="14"/>
      <c r="DI324" s="14"/>
      <c r="DJ324" s="14"/>
    </row>
    <row r="325" spans="4:114" x14ac:dyDescent="0.25">
      <c r="D325" s="14"/>
      <c r="E325" s="15"/>
      <c r="F325" s="14"/>
      <c r="G325" s="14"/>
      <c r="H325" s="14"/>
      <c r="I325" s="14"/>
      <c r="J325" s="14"/>
      <c r="K325" s="25"/>
      <c r="L325" s="34"/>
      <c r="M325" s="34"/>
      <c r="N325" s="9"/>
      <c r="O325" s="9"/>
      <c r="P325" s="9"/>
      <c r="Q325" s="9"/>
      <c r="R325" s="9"/>
      <c r="S325" s="26"/>
      <c r="T325" s="14"/>
      <c r="U325" s="14"/>
      <c r="V325" s="14"/>
      <c r="W325" s="14"/>
      <c r="X325" s="14"/>
      <c r="Y325" s="14"/>
      <c r="Z325" s="25"/>
      <c r="AA325" s="34"/>
      <c r="AB325" s="37"/>
      <c r="AC325" s="36" t="str">
        <f t="shared" si="4"/>
        <v/>
      </c>
      <c r="AD325" s="9"/>
      <c r="AE325" s="9"/>
      <c r="AF325" s="9"/>
      <c r="AG325" s="9"/>
      <c r="AH325" s="9"/>
      <c r="AI325" s="26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  <c r="BV325" s="14"/>
      <c r="BW325" s="14"/>
      <c r="BX325" s="14"/>
      <c r="BY325" s="14"/>
      <c r="BZ325" s="14"/>
      <c r="CA325" s="14"/>
      <c r="CB325" s="14"/>
      <c r="CC325" s="14"/>
      <c r="CD325" s="14"/>
      <c r="CE325" s="14"/>
      <c r="CF325" s="14"/>
      <c r="CG325" s="14"/>
      <c r="CH325" s="14"/>
      <c r="CI325" s="14"/>
      <c r="CJ325" s="14"/>
      <c r="CK325" s="14"/>
      <c r="CL325" s="14"/>
      <c r="CM325" s="14"/>
      <c r="CN325" s="14"/>
      <c r="CO325" s="14"/>
      <c r="CP325" s="14"/>
      <c r="CQ325" s="14"/>
      <c r="CR325" s="14"/>
      <c r="CS325" s="14"/>
      <c r="CT325" s="14"/>
      <c r="CU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4"/>
      <c r="DF325" s="14"/>
      <c r="DG325" s="14"/>
      <c r="DH325" s="14"/>
      <c r="DI325" s="14"/>
      <c r="DJ325" s="14"/>
    </row>
    <row r="326" spans="4:114" x14ac:dyDescent="0.25">
      <c r="D326" s="14"/>
      <c r="E326" s="15"/>
      <c r="F326" s="14"/>
      <c r="G326" s="14"/>
      <c r="H326" s="14"/>
      <c r="I326" s="14"/>
      <c r="J326" s="14"/>
      <c r="K326" s="25"/>
      <c r="L326" s="34"/>
      <c r="M326" s="34"/>
      <c r="N326" s="9"/>
      <c r="O326" s="9"/>
      <c r="P326" s="9"/>
      <c r="Q326" s="9"/>
      <c r="R326" s="9"/>
      <c r="S326" s="26"/>
      <c r="T326" s="14"/>
      <c r="U326" s="14"/>
      <c r="V326" s="14"/>
      <c r="W326" s="14"/>
      <c r="X326" s="14"/>
      <c r="Y326" s="14"/>
      <c r="Z326" s="25"/>
      <c r="AA326" s="34"/>
      <c r="AB326" s="37"/>
      <c r="AC326" s="36" t="str">
        <f t="shared" si="4"/>
        <v/>
      </c>
      <c r="AD326" s="9"/>
      <c r="AE326" s="9"/>
      <c r="AF326" s="9"/>
      <c r="AG326" s="9"/>
      <c r="AH326" s="9"/>
      <c r="AI326" s="26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  <c r="BV326" s="14"/>
      <c r="BW326" s="14"/>
      <c r="BX326" s="14"/>
      <c r="BY326" s="14"/>
      <c r="BZ326" s="14"/>
      <c r="CA326" s="14"/>
      <c r="CB326" s="14"/>
      <c r="CC326" s="14"/>
      <c r="CD326" s="14"/>
      <c r="CE326" s="14"/>
      <c r="CF326" s="14"/>
      <c r="CG326" s="14"/>
      <c r="CH326" s="14"/>
      <c r="CI326" s="14"/>
      <c r="CJ326" s="14"/>
      <c r="CK326" s="14"/>
      <c r="CL326" s="14"/>
      <c r="CM326" s="14"/>
      <c r="CN326" s="14"/>
      <c r="CO326" s="14"/>
      <c r="CP326" s="14"/>
      <c r="CQ326" s="14"/>
      <c r="CR326" s="14"/>
      <c r="CS326" s="14"/>
      <c r="CT326" s="14"/>
      <c r="CU326" s="14"/>
      <c r="CV326" s="14"/>
      <c r="CW326" s="14"/>
      <c r="CX326" s="14"/>
      <c r="CY326" s="14"/>
      <c r="CZ326" s="14"/>
      <c r="DA326" s="14"/>
      <c r="DB326" s="14"/>
      <c r="DC326" s="14"/>
      <c r="DD326" s="14"/>
      <c r="DE326" s="14"/>
      <c r="DF326" s="14"/>
      <c r="DG326" s="14"/>
      <c r="DH326" s="14"/>
      <c r="DI326" s="14"/>
      <c r="DJ326" s="14"/>
    </row>
    <row r="327" spans="4:114" x14ac:dyDescent="0.25">
      <c r="D327" s="14"/>
      <c r="E327" s="15"/>
      <c r="F327" s="14"/>
      <c r="G327" s="14"/>
      <c r="H327" s="14"/>
      <c r="I327" s="14"/>
      <c r="J327" s="14"/>
      <c r="K327" s="25"/>
      <c r="L327" s="34"/>
      <c r="M327" s="34"/>
      <c r="N327" s="9"/>
      <c r="O327" s="9"/>
      <c r="P327" s="9"/>
      <c r="Q327" s="9"/>
      <c r="R327" s="9"/>
      <c r="S327" s="26"/>
      <c r="T327" s="14"/>
      <c r="U327" s="14"/>
      <c r="V327" s="14"/>
      <c r="W327" s="14"/>
      <c r="X327" s="14"/>
      <c r="Y327" s="14"/>
      <c r="Z327" s="25"/>
      <c r="AA327" s="34"/>
      <c r="AB327" s="37"/>
      <c r="AC327" s="36" t="str">
        <f t="shared" si="4"/>
        <v/>
      </c>
      <c r="AD327" s="9"/>
      <c r="AE327" s="9"/>
      <c r="AF327" s="9"/>
      <c r="AG327" s="9"/>
      <c r="AH327" s="9"/>
      <c r="AI327" s="26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  <c r="BV327" s="14"/>
      <c r="BW327" s="14"/>
      <c r="BX327" s="14"/>
      <c r="BY327" s="14"/>
      <c r="BZ327" s="14"/>
      <c r="CA327" s="14"/>
      <c r="CB327" s="14"/>
      <c r="CC327" s="14"/>
      <c r="CD327" s="14"/>
      <c r="CE327" s="14"/>
      <c r="CF327" s="14"/>
      <c r="CG327" s="14"/>
      <c r="CH327" s="14"/>
      <c r="CI327" s="14"/>
      <c r="CJ327" s="14"/>
      <c r="CK327" s="14"/>
      <c r="CL327" s="14"/>
      <c r="CM327" s="14"/>
      <c r="CN327" s="14"/>
      <c r="CO327" s="14"/>
      <c r="CP327" s="14"/>
      <c r="CQ327" s="14"/>
      <c r="CR327" s="14"/>
      <c r="CS327" s="14"/>
      <c r="CT327" s="14"/>
      <c r="CU327" s="14"/>
      <c r="CV327" s="14"/>
      <c r="CW327" s="14"/>
      <c r="CX327" s="14"/>
      <c r="CY327" s="14"/>
      <c r="CZ327" s="14"/>
      <c r="DA327" s="14"/>
      <c r="DB327" s="14"/>
      <c r="DC327" s="14"/>
      <c r="DD327" s="14"/>
      <c r="DE327" s="14"/>
      <c r="DF327" s="14"/>
      <c r="DG327" s="14"/>
      <c r="DH327" s="14"/>
      <c r="DI327" s="14"/>
      <c r="DJ327" s="14"/>
    </row>
    <row r="328" spans="4:114" x14ac:dyDescent="0.25">
      <c r="D328" s="14"/>
      <c r="E328" s="15"/>
      <c r="F328" s="14"/>
      <c r="G328" s="14"/>
      <c r="H328" s="14"/>
      <c r="I328" s="14"/>
      <c r="J328" s="14"/>
      <c r="K328" s="25"/>
      <c r="L328" s="34"/>
      <c r="M328" s="34"/>
      <c r="N328" s="9"/>
      <c r="O328" s="9"/>
      <c r="P328" s="9"/>
      <c r="Q328" s="9"/>
      <c r="R328" s="9"/>
      <c r="S328" s="26"/>
      <c r="T328" s="14"/>
      <c r="U328" s="14"/>
      <c r="V328" s="14"/>
      <c r="W328" s="14"/>
      <c r="X328" s="14"/>
      <c r="Y328" s="14"/>
      <c r="Z328" s="25"/>
      <c r="AA328" s="34"/>
      <c r="AB328" s="37"/>
      <c r="AC328" s="36" t="str">
        <f t="shared" si="4"/>
        <v/>
      </c>
      <c r="AD328" s="9"/>
      <c r="AE328" s="9"/>
      <c r="AF328" s="9"/>
      <c r="AG328" s="9"/>
      <c r="AH328" s="9"/>
      <c r="AI328" s="26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  <c r="BV328" s="14"/>
      <c r="BW328" s="14"/>
      <c r="BX328" s="14"/>
      <c r="BY328" s="14"/>
      <c r="BZ328" s="14"/>
      <c r="CA328" s="14"/>
      <c r="CB328" s="14"/>
      <c r="CC328" s="14"/>
      <c r="CD328" s="14"/>
      <c r="CE328" s="14"/>
      <c r="CF328" s="14"/>
      <c r="CG328" s="14"/>
      <c r="CH328" s="14"/>
      <c r="CI328" s="14"/>
      <c r="CJ328" s="14"/>
      <c r="CK328" s="14"/>
      <c r="CL328" s="14"/>
      <c r="CM328" s="14"/>
      <c r="CN328" s="14"/>
      <c r="CO328" s="14"/>
      <c r="CP328" s="14"/>
      <c r="CQ328" s="14"/>
      <c r="CR328" s="14"/>
      <c r="CS328" s="14"/>
      <c r="CT328" s="14"/>
      <c r="CU328" s="14"/>
      <c r="CV328" s="14"/>
      <c r="CW328" s="14"/>
      <c r="CX328" s="14"/>
      <c r="CY328" s="14"/>
      <c r="CZ328" s="14"/>
      <c r="DA328" s="14"/>
      <c r="DB328" s="14"/>
      <c r="DC328" s="14"/>
      <c r="DD328" s="14"/>
      <c r="DE328" s="14"/>
      <c r="DF328" s="14"/>
      <c r="DG328" s="14"/>
      <c r="DH328" s="14"/>
      <c r="DI328" s="14"/>
      <c r="DJ328" s="14"/>
    </row>
    <row r="329" spans="4:114" x14ac:dyDescent="0.25">
      <c r="D329" s="14"/>
      <c r="E329" s="15"/>
      <c r="F329" s="14"/>
      <c r="G329" s="14"/>
      <c r="H329" s="14"/>
      <c r="I329" s="14"/>
      <c r="J329" s="14"/>
      <c r="K329" s="25"/>
      <c r="L329" s="34"/>
      <c r="M329" s="34"/>
      <c r="N329" s="9"/>
      <c r="O329" s="9"/>
      <c r="P329" s="9"/>
      <c r="Q329" s="9"/>
      <c r="R329" s="9"/>
      <c r="S329" s="26"/>
      <c r="T329" s="14"/>
      <c r="U329" s="14"/>
      <c r="V329" s="14"/>
      <c r="W329" s="14"/>
      <c r="X329" s="14"/>
      <c r="Y329" s="14"/>
      <c r="Z329" s="25"/>
      <c r="AA329" s="34"/>
      <c r="AB329" s="37"/>
      <c r="AC329" s="36" t="str">
        <f t="shared" si="4"/>
        <v/>
      </c>
      <c r="AD329" s="9"/>
      <c r="AE329" s="9"/>
      <c r="AF329" s="9"/>
      <c r="AG329" s="9"/>
      <c r="AH329" s="9"/>
      <c r="AI329" s="26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</row>
    <row r="330" spans="4:114" x14ac:dyDescent="0.25">
      <c r="D330" s="14"/>
      <c r="E330" s="15"/>
      <c r="F330" s="14"/>
      <c r="G330" s="14"/>
      <c r="H330" s="14"/>
      <c r="I330" s="14"/>
      <c r="J330" s="14"/>
      <c r="K330" s="25"/>
      <c r="L330" s="34"/>
      <c r="M330" s="34"/>
      <c r="N330" s="9"/>
      <c r="O330" s="9"/>
      <c r="P330" s="9"/>
      <c r="Q330" s="9"/>
      <c r="R330" s="9"/>
      <c r="S330" s="26"/>
      <c r="T330" s="14"/>
      <c r="U330" s="14"/>
      <c r="V330" s="14"/>
      <c r="W330" s="14"/>
      <c r="X330" s="14"/>
      <c r="Y330" s="14"/>
      <c r="Z330" s="25"/>
      <c r="AA330" s="34"/>
      <c r="AB330" s="37"/>
      <c r="AC330" s="36" t="str">
        <f t="shared" si="4"/>
        <v/>
      </c>
      <c r="AD330" s="9"/>
      <c r="AE330" s="9"/>
      <c r="AF330" s="9"/>
      <c r="AG330" s="9"/>
      <c r="AH330" s="9"/>
      <c r="AI330" s="26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  <c r="BV330" s="14"/>
      <c r="BW330" s="14"/>
      <c r="BX330" s="14"/>
      <c r="BY330" s="14"/>
      <c r="BZ330" s="14"/>
      <c r="CA330" s="14"/>
      <c r="CB330" s="14"/>
      <c r="CC330" s="14"/>
      <c r="CD330" s="14"/>
      <c r="CE330" s="14"/>
      <c r="CF330" s="14"/>
      <c r="CG330" s="14"/>
      <c r="CH330" s="14"/>
      <c r="CI330" s="14"/>
      <c r="CJ330" s="14"/>
      <c r="CK330" s="14"/>
      <c r="CL330" s="14"/>
      <c r="CM330" s="14"/>
      <c r="CN330" s="14"/>
      <c r="CO330" s="14"/>
      <c r="CP330" s="14"/>
      <c r="CQ330" s="14"/>
      <c r="CR330" s="14"/>
      <c r="CS330" s="14"/>
      <c r="CT330" s="14"/>
      <c r="CU330" s="14"/>
      <c r="CV330" s="14"/>
      <c r="CW330" s="14"/>
      <c r="CX330" s="14"/>
      <c r="CY330" s="14"/>
      <c r="CZ330" s="14"/>
      <c r="DA330" s="14"/>
      <c r="DB330" s="14"/>
      <c r="DC330" s="14"/>
      <c r="DD330" s="14"/>
      <c r="DE330" s="14"/>
      <c r="DF330" s="14"/>
      <c r="DG330" s="14"/>
      <c r="DH330" s="14"/>
      <c r="DI330" s="14"/>
      <c r="DJ330" s="14"/>
    </row>
    <row r="331" spans="4:114" x14ac:dyDescent="0.25">
      <c r="D331" s="14"/>
      <c r="E331" s="15"/>
      <c r="F331" s="14"/>
      <c r="G331" s="14"/>
      <c r="H331" s="14"/>
      <c r="I331" s="14"/>
      <c r="J331" s="14"/>
      <c r="K331" s="25"/>
      <c r="L331" s="34"/>
      <c r="M331" s="34"/>
      <c r="N331" s="9"/>
      <c r="O331" s="9"/>
      <c r="P331" s="9"/>
      <c r="Q331" s="9"/>
      <c r="R331" s="9"/>
      <c r="S331" s="26"/>
      <c r="T331" s="14"/>
      <c r="U331" s="14"/>
      <c r="V331" s="14"/>
      <c r="W331" s="14"/>
      <c r="X331" s="14"/>
      <c r="Y331" s="14"/>
      <c r="Z331" s="25"/>
      <c r="AA331" s="34"/>
      <c r="AB331" s="37"/>
      <c r="AC331" s="36" t="str">
        <f t="shared" si="4"/>
        <v/>
      </c>
      <c r="AD331" s="9"/>
      <c r="AE331" s="9"/>
      <c r="AF331" s="9"/>
      <c r="AG331" s="9"/>
      <c r="AH331" s="9"/>
      <c r="AI331" s="26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  <c r="BV331" s="14"/>
      <c r="BW331" s="14"/>
      <c r="BX331" s="14"/>
      <c r="BY331" s="14"/>
      <c r="BZ331" s="14"/>
      <c r="CA331" s="14"/>
      <c r="CB331" s="14"/>
      <c r="CC331" s="14"/>
      <c r="CD331" s="14"/>
      <c r="CE331" s="14"/>
      <c r="CF331" s="14"/>
      <c r="CG331" s="14"/>
      <c r="CH331" s="14"/>
      <c r="CI331" s="14"/>
      <c r="CJ331" s="14"/>
      <c r="CK331" s="14"/>
      <c r="CL331" s="14"/>
      <c r="CM331" s="14"/>
      <c r="CN331" s="14"/>
      <c r="CO331" s="14"/>
      <c r="CP331" s="14"/>
      <c r="CQ331" s="14"/>
      <c r="CR331" s="14"/>
      <c r="CS331" s="14"/>
      <c r="CT331" s="14"/>
      <c r="CU331" s="14"/>
      <c r="CV331" s="14"/>
      <c r="CW331" s="14"/>
      <c r="CX331" s="14"/>
      <c r="CY331" s="14"/>
      <c r="CZ331" s="14"/>
      <c r="DA331" s="14"/>
      <c r="DB331" s="14"/>
      <c r="DC331" s="14"/>
      <c r="DD331" s="14"/>
      <c r="DE331" s="14"/>
      <c r="DF331" s="14"/>
      <c r="DG331" s="14"/>
      <c r="DH331" s="14"/>
      <c r="DI331" s="14"/>
      <c r="DJ331" s="14"/>
    </row>
    <row r="332" spans="4:114" x14ac:dyDescent="0.25">
      <c r="D332" s="14"/>
      <c r="E332" s="15"/>
      <c r="F332" s="14"/>
      <c r="G332" s="14"/>
      <c r="H332" s="14"/>
      <c r="I332" s="14"/>
      <c r="J332" s="14"/>
      <c r="K332" s="25"/>
      <c r="L332" s="34"/>
      <c r="M332" s="34"/>
      <c r="N332" s="9"/>
      <c r="O332" s="9"/>
      <c r="P332" s="9"/>
      <c r="Q332" s="9"/>
      <c r="R332" s="9"/>
      <c r="S332" s="26"/>
      <c r="T332" s="14"/>
      <c r="U332" s="14"/>
      <c r="V332" s="14"/>
      <c r="W332" s="14"/>
      <c r="X332" s="14"/>
      <c r="Y332" s="14"/>
      <c r="Z332" s="25"/>
      <c r="AA332" s="34"/>
      <c r="AB332" s="37"/>
      <c r="AC332" s="36" t="str">
        <f t="shared" si="4"/>
        <v/>
      </c>
      <c r="AD332" s="9"/>
      <c r="AE332" s="9"/>
      <c r="AF332" s="9"/>
      <c r="AG332" s="9"/>
      <c r="AH332" s="9"/>
      <c r="AI332" s="26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  <c r="BV332" s="14"/>
      <c r="BW332" s="14"/>
      <c r="BX332" s="14"/>
      <c r="BY332" s="14"/>
      <c r="BZ332" s="14"/>
      <c r="CA332" s="14"/>
      <c r="CB332" s="14"/>
      <c r="CC332" s="14"/>
      <c r="CD332" s="14"/>
      <c r="CE332" s="14"/>
      <c r="CF332" s="14"/>
      <c r="CG332" s="14"/>
      <c r="CH332" s="14"/>
      <c r="CI332" s="14"/>
      <c r="CJ332" s="14"/>
      <c r="CK332" s="14"/>
      <c r="CL332" s="14"/>
      <c r="CM332" s="14"/>
      <c r="CN332" s="14"/>
      <c r="CO332" s="14"/>
      <c r="CP332" s="14"/>
      <c r="CQ332" s="14"/>
      <c r="CR332" s="14"/>
      <c r="CS332" s="14"/>
      <c r="CT332" s="14"/>
      <c r="CU332" s="14"/>
      <c r="CV332" s="14"/>
      <c r="CW332" s="14"/>
      <c r="CX332" s="14"/>
      <c r="CY332" s="14"/>
      <c r="CZ332" s="14"/>
      <c r="DA332" s="14"/>
      <c r="DB332" s="14"/>
      <c r="DC332" s="14"/>
      <c r="DD332" s="14"/>
      <c r="DE332" s="14"/>
      <c r="DF332" s="14"/>
      <c r="DG332" s="14"/>
      <c r="DH332" s="14"/>
      <c r="DI332" s="14"/>
      <c r="DJ332" s="14"/>
    </row>
    <row r="333" spans="4:114" x14ac:dyDescent="0.25">
      <c r="D333" s="14"/>
      <c r="E333" s="15"/>
      <c r="F333" s="14"/>
      <c r="G333" s="14"/>
      <c r="H333" s="14"/>
      <c r="I333" s="14"/>
      <c r="J333" s="14"/>
      <c r="K333" s="25"/>
      <c r="L333" s="34"/>
      <c r="M333" s="34"/>
      <c r="N333" s="9"/>
      <c r="O333" s="9"/>
      <c r="P333" s="9"/>
      <c r="Q333" s="9"/>
      <c r="R333" s="9"/>
      <c r="S333" s="26"/>
      <c r="T333" s="14"/>
      <c r="U333" s="14"/>
      <c r="V333" s="14"/>
      <c r="W333" s="14"/>
      <c r="X333" s="14"/>
      <c r="Y333" s="14"/>
      <c r="Z333" s="25"/>
      <c r="AA333" s="34"/>
      <c r="AB333" s="37"/>
      <c r="AC333" s="36" t="str">
        <f t="shared" ref="AC333:AC396" si="5">IF(AB333="","",MID(AB333,14,IFERROR(FIND(", Powiat",AB333,1),FIND(", Powiat",AB333,1))-LEN("Województwo: ")-1))</f>
        <v/>
      </c>
      <c r="AD333" s="9"/>
      <c r="AE333" s="9"/>
      <c r="AF333" s="9"/>
      <c r="AG333" s="9"/>
      <c r="AH333" s="9"/>
      <c r="AI333" s="26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  <c r="DG333" s="14"/>
      <c r="DH333" s="14"/>
      <c r="DI333" s="14"/>
      <c r="DJ333" s="14"/>
    </row>
    <row r="334" spans="4:114" x14ac:dyDescent="0.25">
      <c r="D334" s="14"/>
      <c r="E334" s="15"/>
      <c r="F334" s="14"/>
      <c r="G334" s="14"/>
      <c r="H334" s="14"/>
      <c r="I334" s="14"/>
      <c r="J334" s="14"/>
      <c r="K334" s="25"/>
      <c r="L334" s="34"/>
      <c r="M334" s="34"/>
      <c r="N334" s="9"/>
      <c r="O334" s="9"/>
      <c r="P334" s="9"/>
      <c r="Q334" s="9"/>
      <c r="R334" s="9"/>
      <c r="S334" s="26"/>
      <c r="T334" s="14"/>
      <c r="U334" s="14"/>
      <c r="V334" s="14"/>
      <c r="W334" s="14"/>
      <c r="X334" s="14"/>
      <c r="Y334" s="14"/>
      <c r="Z334" s="25"/>
      <c r="AA334" s="34"/>
      <c r="AB334" s="37"/>
      <c r="AC334" s="36" t="str">
        <f t="shared" si="5"/>
        <v/>
      </c>
      <c r="AD334" s="9"/>
      <c r="AE334" s="9"/>
      <c r="AF334" s="9"/>
      <c r="AG334" s="9"/>
      <c r="AH334" s="9"/>
      <c r="AI334" s="26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</row>
    <row r="335" spans="4:114" x14ac:dyDescent="0.25">
      <c r="D335" s="14"/>
      <c r="E335" s="15"/>
      <c r="F335" s="14"/>
      <c r="G335" s="14"/>
      <c r="H335" s="14"/>
      <c r="I335" s="14"/>
      <c r="J335" s="14"/>
      <c r="K335" s="25"/>
      <c r="L335" s="34"/>
      <c r="M335" s="34"/>
      <c r="N335" s="9"/>
      <c r="O335" s="9"/>
      <c r="P335" s="9"/>
      <c r="Q335" s="9"/>
      <c r="R335" s="9"/>
      <c r="S335" s="26"/>
      <c r="T335" s="14"/>
      <c r="U335" s="14"/>
      <c r="V335" s="14"/>
      <c r="W335" s="14"/>
      <c r="X335" s="14"/>
      <c r="Y335" s="14"/>
      <c r="Z335" s="25"/>
      <c r="AA335" s="34"/>
      <c r="AB335" s="37"/>
      <c r="AC335" s="36" t="str">
        <f t="shared" si="5"/>
        <v/>
      </c>
      <c r="AD335" s="9"/>
      <c r="AE335" s="9"/>
      <c r="AF335" s="9"/>
      <c r="AG335" s="9"/>
      <c r="AH335" s="9"/>
      <c r="AI335" s="26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14"/>
      <c r="CV335" s="14"/>
      <c r="CW335" s="14"/>
      <c r="CX335" s="14"/>
      <c r="CY335" s="14"/>
      <c r="CZ335" s="14"/>
      <c r="DA335" s="14"/>
      <c r="DB335" s="14"/>
      <c r="DC335" s="14"/>
      <c r="DD335" s="14"/>
      <c r="DE335" s="14"/>
      <c r="DF335" s="14"/>
      <c r="DG335" s="14"/>
      <c r="DH335" s="14"/>
      <c r="DI335" s="14"/>
      <c r="DJ335" s="14"/>
    </row>
    <row r="336" spans="4:114" x14ac:dyDescent="0.25">
      <c r="D336" s="14"/>
      <c r="E336" s="15"/>
      <c r="F336" s="14"/>
      <c r="G336" s="14"/>
      <c r="H336" s="14"/>
      <c r="I336" s="14"/>
      <c r="J336" s="14"/>
      <c r="K336" s="25"/>
      <c r="L336" s="34"/>
      <c r="M336" s="34"/>
      <c r="N336" s="9"/>
      <c r="O336" s="9"/>
      <c r="P336" s="9"/>
      <c r="Q336" s="9"/>
      <c r="R336" s="9"/>
      <c r="S336" s="26"/>
      <c r="T336" s="14"/>
      <c r="U336" s="14"/>
      <c r="V336" s="14"/>
      <c r="W336" s="14"/>
      <c r="X336" s="14"/>
      <c r="Y336" s="14"/>
      <c r="Z336" s="25"/>
      <c r="AA336" s="34"/>
      <c r="AB336" s="37"/>
      <c r="AC336" s="36" t="str">
        <f t="shared" si="5"/>
        <v/>
      </c>
      <c r="AD336" s="9"/>
      <c r="AE336" s="9"/>
      <c r="AF336" s="9"/>
      <c r="AG336" s="9"/>
      <c r="AH336" s="9"/>
      <c r="AI336" s="26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</row>
    <row r="337" spans="4:114" x14ac:dyDescent="0.25">
      <c r="D337" s="14"/>
      <c r="E337" s="15"/>
      <c r="F337" s="14"/>
      <c r="G337" s="14"/>
      <c r="H337" s="14"/>
      <c r="I337" s="14"/>
      <c r="J337" s="14"/>
      <c r="K337" s="25"/>
      <c r="L337" s="34"/>
      <c r="M337" s="34"/>
      <c r="N337" s="9"/>
      <c r="O337" s="9"/>
      <c r="P337" s="9"/>
      <c r="Q337" s="9"/>
      <c r="R337" s="9"/>
      <c r="S337" s="26"/>
      <c r="T337" s="14"/>
      <c r="U337" s="14"/>
      <c r="V337" s="14"/>
      <c r="W337" s="14"/>
      <c r="X337" s="14"/>
      <c r="Y337" s="14"/>
      <c r="Z337" s="25"/>
      <c r="AA337" s="34"/>
      <c r="AB337" s="37"/>
      <c r="AC337" s="36" t="str">
        <f t="shared" si="5"/>
        <v/>
      </c>
      <c r="AD337" s="9"/>
      <c r="AE337" s="9"/>
      <c r="AF337" s="9"/>
      <c r="AG337" s="9"/>
      <c r="AH337" s="9"/>
      <c r="AI337" s="26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</row>
    <row r="338" spans="4:114" x14ac:dyDescent="0.25">
      <c r="D338" s="14"/>
      <c r="E338" s="15"/>
      <c r="F338" s="14"/>
      <c r="G338" s="14"/>
      <c r="H338" s="14"/>
      <c r="I338" s="14"/>
      <c r="J338" s="14"/>
      <c r="K338" s="25"/>
      <c r="L338" s="34"/>
      <c r="M338" s="34"/>
      <c r="N338" s="9"/>
      <c r="O338" s="9"/>
      <c r="P338" s="9"/>
      <c r="Q338" s="9"/>
      <c r="R338" s="9"/>
      <c r="S338" s="26"/>
      <c r="T338" s="14"/>
      <c r="U338" s="14"/>
      <c r="V338" s="14"/>
      <c r="W338" s="14"/>
      <c r="X338" s="14"/>
      <c r="Y338" s="14"/>
      <c r="Z338" s="25"/>
      <c r="AA338" s="34"/>
      <c r="AB338" s="37"/>
      <c r="AC338" s="36" t="str">
        <f t="shared" si="5"/>
        <v/>
      </c>
      <c r="AD338" s="9"/>
      <c r="AE338" s="9"/>
      <c r="AF338" s="9"/>
      <c r="AG338" s="9"/>
      <c r="AH338" s="9"/>
      <c r="AI338" s="26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  <c r="BV338" s="14"/>
      <c r="BW338" s="14"/>
      <c r="BX338" s="14"/>
      <c r="BY338" s="14"/>
      <c r="BZ338" s="14"/>
      <c r="CA338" s="14"/>
      <c r="CB338" s="14"/>
      <c r="CC338" s="14"/>
      <c r="CD338" s="14"/>
      <c r="CE338" s="14"/>
      <c r="CF338" s="14"/>
      <c r="CG338" s="14"/>
      <c r="CH338" s="14"/>
      <c r="CI338" s="14"/>
      <c r="CJ338" s="14"/>
      <c r="CK338" s="14"/>
      <c r="CL338" s="14"/>
      <c r="CM338" s="14"/>
      <c r="CN338" s="14"/>
      <c r="CO338" s="14"/>
      <c r="CP338" s="14"/>
      <c r="CQ338" s="14"/>
      <c r="CR338" s="14"/>
      <c r="CS338" s="14"/>
      <c r="CT338" s="14"/>
      <c r="CU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4"/>
      <c r="DF338" s="14"/>
      <c r="DG338" s="14"/>
      <c r="DH338" s="14"/>
      <c r="DI338" s="14"/>
      <c r="DJ338" s="14"/>
    </row>
    <row r="339" spans="4:114" x14ac:dyDescent="0.25">
      <c r="D339" s="14"/>
      <c r="E339" s="15"/>
      <c r="F339" s="14"/>
      <c r="G339" s="14"/>
      <c r="H339" s="14"/>
      <c r="I339" s="14"/>
      <c r="J339" s="14"/>
      <c r="K339" s="25"/>
      <c r="L339" s="34"/>
      <c r="M339" s="34"/>
      <c r="N339" s="9"/>
      <c r="O339" s="9"/>
      <c r="P339" s="9"/>
      <c r="Q339" s="9"/>
      <c r="R339" s="9"/>
      <c r="S339" s="26"/>
      <c r="T339" s="14"/>
      <c r="U339" s="14"/>
      <c r="V339" s="14"/>
      <c r="W339" s="14"/>
      <c r="X339" s="14"/>
      <c r="Y339" s="14"/>
      <c r="Z339" s="25"/>
      <c r="AA339" s="34"/>
      <c r="AB339" s="37"/>
      <c r="AC339" s="36" t="str">
        <f t="shared" si="5"/>
        <v/>
      </c>
      <c r="AD339" s="9"/>
      <c r="AE339" s="9"/>
      <c r="AF339" s="9"/>
      <c r="AG339" s="9"/>
      <c r="AH339" s="9"/>
      <c r="AI339" s="26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  <c r="BV339" s="14"/>
      <c r="BW339" s="14"/>
      <c r="BX339" s="14"/>
      <c r="BY339" s="14"/>
      <c r="BZ339" s="14"/>
      <c r="CA339" s="14"/>
      <c r="CB339" s="14"/>
      <c r="CC339" s="14"/>
      <c r="CD339" s="14"/>
      <c r="CE339" s="14"/>
      <c r="CF339" s="14"/>
      <c r="CG339" s="14"/>
      <c r="CH339" s="14"/>
      <c r="CI339" s="14"/>
      <c r="CJ339" s="14"/>
      <c r="CK339" s="14"/>
      <c r="CL339" s="14"/>
      <c r="CM339" s="14"/>
      <c r="CN339" s="14"/>
      <c r="CO339" s="14"/>
      <c r="CP339" s="14"/>
      <c r="CQ339" s="14"/>
      <c r="CR339" s="14"/>
      <c r="CS339" s="14"/>
      <c r="CT339" s="14"/>
      <c r="CU339" s="14"/>
      <c r="CV339" s="14"/>
      <c r="CW339" s="14"/>
      <c r="CX339" s="14"/>
      <c r="CY339" s="14"/>
      <c r="CZ339" s="14"/>
      <c r="DA339" s="14"/>
      <c r="DB339" s="14"/>
      <c r="DC339" s="14"/>
      <c r="DD339" s="14"/>
      <c r="DE339" s="14"/>
      <c r="DF339" s="14"/>
      <c r="DG339" s="14"/>
      <c r="DH339" s="14"/>
      <c r="DI339" s="14"/>
      <c r="DJ339" s="14"/>
    </row>
    <row r="340" spans="4:114" x14ac:dyDescent="0.25">
      <c r="D340" s="14"/>
      <c r="E340" s="15"/>
      <c r="F340" s="14"/>
      <c r="G340" s="14"/>
      <c r="H340" s="14"/>
      <c r="I340" s="14"/>
      <c r="J340" s="14"/>
      <c r="K340" s="25"/>
      <c r="L340" s="34"/>
      <c r="M340" s="34"/>
      <c r="N340" s="9"/>
      <c r="O340" s="9"/>
      <c r="P340" s="9"/>
      <c r="Q340" s="9"/>
      <c r="R340" s="9"/>
      <c r="S340" s="26"/>
      <c r="T340" s="14"/>
      <c r="U340" s="14"/>
      <c r="V340" s="14"/>
      <c r="W340" s="14"/>
      <c r="X340" s="14"/>
      <c r="Y340" s="14"/>
      <c r="Z340" s="25"/>
      <c r="AA340" s="34"/>
      <c r="AB340" s="37"/>
      <c r="AC340" s="36" t="str">
        <f t="shared" si="5"/>
        <v/>
      </c>
      <c r="AD340" s="9"/>
      <c r="AE340" s="9"/>
      <c r="AF340" s="9"/>
      <c r="AG340" s="9"/>
      <c r="AH340" s="9"/>
      <c r="AI340" s="26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  <c r="BV340" s="14"/>
      <c r="BW340" s="14"/>
      <c r="BX340" s="14"/>
      <c r="BY340" s="14"/>
      <c r="BZ340" s="14"/>
      <c r="CA340" s="14"/>
      <c r="CB340" s="14"/>
      <c r="CC340" s="14"/>
      <c r="CD340" s="14"/>
      <c r="CE340" s="14"/>
      <c r="CF340" s="14"/>
      <c r="CG340" s="14"/>
      <c r="CH340" s="14"/>
      <c r="CI340" s="14"/>
      <c r="CJ340" s="14"/>
      <c r="CK340" s="14"/>
      <c r="CL340" s="14"/>
      <c r="CM340" s="14"/>
      <c r="CN340" s="14"/>
      <c r="CO340" s="14"/>
      <c r="CP340" s="14"/>
      <c r="CQ340" s="14"/>
      <c r="CR340" s="14"/>
      <c r="CS340" s="14"/>
      <c r="CT340" s="14"/>
      <c r="CU340" s="14"/>
      <c r="CV340" s="14"/>
      <c r="CW340" s="14"/>
      <c r="CX340" s="14"/>
      <c r="CY340" s="14"/>
      <c r="CZ340" s="14"/>
      <c r="DA340" s="14"/>
      <c r="DB340" s="14"/>
      <c r="DC340" s="14"/>
      <c r="DD340" s="14"/>
      <c r="DE340" s="14"/>
      <c r="DF340" s="14"/>
      <c r="DG340" s="14"/>
      <c r="DH340" s="14"/>
      <c r="DI340" s="14"/>
      <c r="DJ340" s="14"/>
    </row>
    <row r="341" spans="4:114" x14ac:dyDescent="0.25">
      <c r="D341" s="14"/>
      <c r="E341" s="15"/>
      <c r="F341" s="14"/>
      <c r="G341" s="14"/>
      <c r="H341" s="14"/>
      <c r="I341" s="14"/>
      <c r="J341" s="14"/>
      <c r="K341" s="25"/>
      <c r="L341" s="34"/>
      <c r="M341" s="34"/>
      <c r="N341" s="9"/>
      <c r="O341" s="9"/>
      <c r="P341" s="9"/>
      <c r="Q341" s="9"/>
      <c r="R341" s="9"/>
      <c r="S341" s="26"/>
      <c r="T341" s="14"/>
      <c r="U341" s="14"/>
      <c r="V341" s="14"/>
      <c r="W341" s="14"/>
      <c r="X341" s="14"/>
      <c r="Y341" s="14"/>
      <c r="Z341" s="25"/>
      <c r="AA341" s="34"/>
      <c r="AB341" s="37"/>
      <c r="AC341" s="36" t="str">
        <f t="shared" si="5"/>
        <v/>
      </c>
      <c r="AD341" s="9"/>
      <c r="AE341" s="9"/>
      <c r="AF341" s="9"/>
      <c r="AG341" s="9"/>
      <c r="AH341" s="9"/>
      <c r="AI341" s="26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  <c r="BV341" s="14"/>
      <c r="BW341" s="14"/>
      <c r="BX341" s="14"/>
      <c r="BY341" s="14"/>
      <c r="BZ341" s="14"/>
      <c r="CA341" s="14"/>
      <c r="CB341" s="14"/>
      <c r="CC341" s="14"/>
      <c r="CD341" s="14"/>
      <c r="CE341" s="14"/>
      <c r="CF341" s="14"/>
      <c r="CG341" s="14"/>
      <c r="CH341" s="14"/>
      <c r="CI341" s="14"/>
      <c r="CJ341" s="14"/>
      <c r="CK341" s="14"/>
      <c r="CL341" s="14"/>
      <c r="CM341" s="14"/>
      <c r="CN341" s="14"/>
      <c r="CO341" s="14"/>
      <c r="CP341" s="14"/>
      <c r="CQ341" s="14"/>
      <c r="CR341" s="14"/>
      <c r="CS341" s="14"/>
      <c r="CT341" s="14"/>
      <c r="CU341" s="14"/>
      <c r="CV341" s="14"/>
      <c r="CW341" s="14"/>
      <c r="CX341" s="14"/>
      <c r="CY341" s="14"/>
      <c r="CZ341" s="14"/>
      <c r="DA341" s="14"/>
      <c r="DB341" s="14"/>
      <c r="DC341" s="14"/>
      <c r="DD341" s="14"/>
      <c r="DE341" s="14"/>
      <c r="DF341" s="14"/>
      <c r="DG341" s="14"/>
      <c r="DH341" s="14"/>
      <c r="DI341" s="14"/>
      <c r="DJ341" s="14"/>
    </row>
    <row r="342" spans="4:114" x14ac:dyDescent="0.25">
      <c r="D342" s="14"/>
      <c r="E342" s="15"/>
      <c r="F342" s="14"/>
      <c r="G342" s="14"/>
      <c r="H342" s="14"/>
      <c r="I342" s="14"/>
      <c r="J342" s="14"/>
      <c r="K342" s="25"/>
      <c r="L342" s="34"/>
      <c r="M342" s="34"/>
      <c r="N342" s="9"/>
      <c r="O342" s="9"/>
      <c r="P342" s="9"/>
      <c r="Q342" s="9"/>
      <c r="R342" s="9"/>
      <c r="S342" s="26"/>
      <c r="T342" s="14"/>
      <c r="U342" s="14"/>
      <c r="V342" s="14"/>
      <c r="W342" s="14"/>
      <c r="X342" s="14"/>
      <c r="Y342" s="14"/>
      <c r="Z342" s="25"/>
      <c r="AA342" s="34"/>
      <c r="AB342" s="37"/>
      <c r="AC342" s="36" t="str">
        <f t="shared" si="5"/>
        <v/>
      </c>
      <c r="AD342" s="9"/>
      <c r="AE342" s="9"/>
      <c r="AF342" s="9"/>
      <c r="AG342" s="9"/>
      <c r="AH342" s="9"/>
      <c r="AI342" s="26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  <c r="BV342" s="14"/>
      <c r="BW342" s="14"/>
      <c r="BX342" s="14"/>
      <c r="BY342" s="14"/>
      <c r="BZ342" s="14"/>
      <c r="CA342" s="14"/>
      <c r="CB342" s="14"/>
      <c r="CC342" s="14"/>
      <c r="CD342" s="14"/>
      <c r="CE342" s="14"/>
      <c r="CF342" s="14"/>
      <c r="CG342" s="14"/>
      <c r="CH342" s="14"/>
      <c r="CI342" s="14"/>
      <c r="CJ342" s="14"/>
      <c r="CK342" s="14"/>
      <c r="CL342" s="14"/>
      <c r="CM342" s="14"/>
      <c r="CN342" s="14"/>
      <c r="CO342" s="14"/>
      <c r="CP342" s="14"/>
      <c r="CQ342" s="14"/>
      <c r="CR342" s="14"/>
      <c r="CS342" s="14"/>
      <c r="CT342" s="14"/>
      <c r="CU342" s="14"/>
      <c r="CV342" s="14"/>
      <c r="CW342" s="14"/>
      <c r="CX342" s="14"/>
      <c r="CY342" s="14"/>
      <c r="CZ342" s="14"/>
      <c r="DA342" s="14"/>
      <c r="DB342" s="14"/>
      <c r="DC342" s="14"/>
      <c r="DD342" s="14"/>
      <c r="DE342" s="14"/>
      <c r="DF342" s="14"/>
      <c r="DG342" s="14"/>
      <c r="DH342" s="14"/>
      <c r="DI342" s="14"/>
      <c r="DJ342" s="14"/>
    </row>
    <row r="343" spans="4:114" x14ac:dyDescent="0.25">
      <c r="D343" s="14"/>
      <c r="E343" s="15"/>
      <c r="F343" s="14"/>
      <c r="G343" s="14"/>
      <c r="H343" s="14"/>
      <c r="I343" s="14"/>
      <c r="J343" s="14"/>
      <c r="K343" s="25"/>
      <c r="L343" s="34"/>
      <c r="M343" s="34"/>
      <c r="N343" s="9"/>
      <c r="O343" s="9"/>
      <c r="P343" s="9"/>
      <c r="Q343" s="9"/>
      <c r="R343" s="9"/>
      <c r="S343" s="26"/>
      <c r="T343" s="14"/>
      <c r="U343" s="14"/>
      <c r="V343" s="14"/>
      <c r="W343" s="14"/>
      <c r="X343" s="14"/>
      <c r="Y343" s="14"/>
      <c r="Z343" s="25"/>
      <c r="AA343" s="34"/>
      <c r="AB343" s="37"/>
      <c r="AC343" s="36" t="str">
        <f t="shared" si="5"/>
        <v/>
      </c>
      <c r="AD343" s="9"/>
      <c r="AE343" s="9"/>
      <c r="AF343" s="9"/>
      <c r="AG343" s="9"/>
      <c r="AH343" s="9"/>
      <c r="AI343" s="26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  <c r="BV343" s="14"/>
      <c r="BW343" s="14"/>
      <c r="BX343" s="14"/>
      <c r="BY343" s="14"/>
      <c r="BZ343" s="14"/>
      <c r="CA343" s="14"/>
      <c r="CB343" s="14"/>
      <c r="CC343" s="14"/>
      <c r="CD343" s="14"/>
      <c r="CE343" s="14"/>
      <c r="CF343" s="14"/>
      <c r="CG343" s="14"/>
      <c r="CH343" s="14"/>
      <c r="CI343" s="14"/>
      <c r="CJ343" s="14"/>
      <c r="CK343" s="14"/>
      <c r="CL343" s="14"/>
      <c r="CM343" s="14"/>
      <c r="CN343" s="14"/>
      <c r="CO343" s="14"/>
      <c r="CP343" s="14"/>
      <c r="CQ343" s="14"/>
      <c r="CR343" s="14"/>
      <c r="CS343" s="14"/>
      <c r="CT343" s="14"/>
      <c r="CU343" s="14"/>
      <c r="CV343" s="14"/>
      <c r="CW343" s="14"/>
      <c r="CX343" s="14"/>
      <c r="CY343" s="14"/>
      <c r="CZ343" s="14"/>
      <c r="DA343" s="14"/>
      <c r="DB343" s="14"/>
      <c r="DC343" s="14"/>
      <c r="DD343" s="14"/>
      <c r="DE343" s="14"/>
      <c r="DF343" s="14"/>
      <c r="DG343" s="14"/>
      <c r="DH343" s="14"/>
      <c r="DI343" s="14"/>
      <c r="DJ343" s="14"/>
    </row>
    <row r="344" spans="4:114" x14ac:dyDescent="0.25">
      <c r="D344" s="14"/>
      <c r="E344" s="15"/>
      <c r="F344" s="14"/>
      <c r="G344" s="14"/>
      <c r="H344" s="14"/>
      <c r="I344" s="14"/>
      <c r="J344" s="14"/>
      <c r="K344" s="25"/>
      <c r="L344" s="34"/>
      <c r="M344" s="34"/>
      <c r="N344" s="9"/>
      <c r="O344" s="9"/>
      <c r="P344" s="9"/>
      <c r="Q344" s="9"/>
      <c r="R344" s="9"/>
      <c r="S344" s="26"/>
      <c r="T344" s="14"/>
      <c r="U344" s="14"/>
      <c r="V344" s="14"/>
      <c r="W344" s="14"/>
      <c r="X344" s="14"/>
      <c r="Y344" s="14"/>
      <c r="Z344" s="25"/>
      <c r="AA344" s="34"/>
      <c r="AB344" s="37"/>
      <c r="AC344" s="36" t="str">
        <f t="shared" si="5"/>
        <v/>
      </c>
      <c r="AD344" s="9"/>
      <c r="AE344" s="9"/>
      <c r="AF344" s="9"/>
      <c r="AG344" s="9"/>
      <c r="AH344" s="9"/>
      <c r="AI344" s="26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  <c r="BV344" s="14"/>
      <c r="BW344" s="14"/>
      <c r="BX344" s="14"/>
      <c r="BY344" s="14"/>
      <c r="BZ344" s="14"/>
      <c r="CA344" s="14"/>
      <c r="CB344" s="14"/>
      <c r="CC344" s="14"/>
      <c r="CD344" s="14"/>
      <c r="CE344" s="14"/>
      <c r="CF344" s="14"/>
      <c r="CG344" s="14"/>
      <c r="CH344" s="14"/>
      <c r="CI344" s="14"/>
      <c r="CJ344" s="14"/>
      <c r="CK344" s="14"/>
      <c r="CL344" s="14"/>
      <c r="CM344" s="14"/>
      <c r="CN344" s="14"/>
      <c r="CO344" s="14"/>
      <c r="CP344" s="14"/>
      <c r="CQ344" s="14"/>
      <c r="CR344" s="14"/>
      <c r="CS344" s="14"/>
      <c r="CT344" s="14"/>
      <c r="CU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4"/>
      <c r="DF344" s="14"/>
      <c r="DG344" s="14"/>
      <c r="DH344" s="14"/>
      <c r="DI344" s="14"/>
      <c r="DJ344" s="14"/>
    </row>
    <row r="345" spans="4:114" x14ac:dyDescent="0.25">
      <c r="D345" s="14"/>
      <c r="E345" s="15"/>
      <c r="F345" s="14"/>
      <c r="G345" s="14"/>
      <c r="H345" s="14"/>
      <c r="I345" s="14"/>
      <c r="J345" s="14"/>
      <c r="K345" s="25"/>
      <c r="L345" s="34"/>
      <c r="M345" s="34"/>
      <c r="N345" s="9"/>
      <c r="O345" s="9"/>
      <c r="P345" s="9"/>
      <c r="Q345" s="9"/>
      <c r="R345" s="9"/>
      <c r="S345" s="26"/>
      <c r="T345" s="14"/>
      <c r="U345" s="14"/>
      <c r="V345" s="14"/>
      <c r="W345" s="14"/>
      <c r="X345" s="14"/>
      <c r="Y345" s="14"/>
      <c r="Z345" s="25"/>
      <c r="AA345" s="34"/>
      <c r="AB345" s="37"/>
      <c r="AC345" s="36" t="str">
        <f t="shared" si="5"/>
        <v/>
      </c>
      <c r="AD345" s="9"/>
      <c r="AE345" s="9"/>
      <c r="AF345" s="9"/>
      <c r="AG345" s="9"/>
      <c r="AH345" s="9"/>
      <c r="AI345" s="26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  <c r="BV345" s="14"/>
      <c r="BW345" s="14"/>
      <c r="BX345" s="14"/>
      <c r="BY345" s="14"/>
      <c r="BZ345" s="14"/>
      <c r="CA345" s="14"/>
      <c r="CB345" s="14"/>
      <c r="CC345" s="14"/>
      <c r="CD345" s="14"/>
      <c r="CE345" s="14"/>
      <c r="CF345" s="14"/>
      <c r="CG345" s="14"/>
      <c r="CH345" s="14"/>
      <c r="CI345" s="14"/>
      <c r="CJ345" s="14"/>
      <c r="CK345" s="14"/>
      <c r="CL345" s="14"/>
      <c r="CM345" s="14"/>
      <c r="CN345" s="14"/>
      <c r="CO345" s="14"/>
      <c r="CP345" s="14"/>
      <c r="CQ345" s="14"/>
      <c r="CR345" s="14"/>
      <c r="CS345" s="14"/>
      <c r="CT345" s="14"/>
      <c r="CU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4"/>
      <c r="DF345" s="14"/>
      <c r="DG345" s="14"/>
      <c r="DH345" s="14"/>
      <c r="DI345" s="14"/>
      <c r="DJ345" s="14"/>
    </row>
    <row r="346" spans="4:114" x14ac:dyDescent="0.25">
      <c r="D346" s="14"/>
      <c r="E346" s="15"/>
      <c r="F346" s="14"/>
      <c r="G346" s="14"/>
      <c r="H346" s="14"/>
      <c r="I346" s="14"/>
      <c r="J346" s="14"/>
      <c r="K346" s="25"/>
      <c r="L346" s="34"/>
      <c r="M346" s="34"/>
      <c r="N346" s="9"/>
      <c r="O346" s="9"/>
      <c r="P346" s="9"/>
      <c r="Q346" s="9"/>
      <c r="R346" s="9"/>
      <c r="S346" s="26"/>
      <c r="T346" s="14"/>
      <c r="U346" s="14"/>
      <c r="V346" s="14"/>
      <c r="W346" s="14"/>
      <c r="X346" s="14"/>
      <c r="Y346" s="14"/>
      <c r="Z346" s="25"/>
      <c r="AA346" s="34"/>
      <c r="AB346" s="37"/>
      <c r="AC346" s="36" t="str">
        <f t="shared" si="5"/>
        <v/>
      </c>
      <c r="AD346" s="9"/>
      <c r="AE346" s="9"/>
      <c r="AF346" s="9"/>
      <c r="AG346" s="9"/>
      <c r="AH346" s="9"/>
      <c r="AI346" s="26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  <c r="BV346" s="14"/>
      <c r="BW346" s="14"/>
      <c r="BX346" s="14"/>
      <c r="BY346" s="14"/>
      <c r="BZ346" s="14"/>
      <c r="CA346" s="14"/>
      <c r="CB346" s="14"/>
      <c r="CC346" s="14"/>
      <c r="CD346" s="14"/>
      <c r="CE346" s="14"/>
      <c r="CF346" s="14"/>
      <c r="CG346" s="14"/>
      <c r="CH346" s="14"/>
      <c r="CI346" s="14"/>
      <c r="CJ346" s="14"/>
      <c r="CK346" s="14"/>
      <c r="CL346" s="14"/>
      <c r="CM346" s="14"/>
      <c r="CN346" s="14"/>
      <c r="CO346" s="14"/>
      <c r="CP346" s="14"/>
      <c r="CQ346" s="14"/>
      <c r="CR346" s="14"/>
      <c r="CS346" s="14"/>
      <c r="CT346" s="14"/>
      <c r="CU346" s="14"/>
      <c r="CV346" s="14"/>
      <c r="CW346" s="14"/>
      <c r="CX346" s="14"/>
      <c r="CY346" s="14"/>
      <c r="CZ346" s="14"/>
      <c r="DA346" s="14"/>
      <c r="DB346" s="14"/>
      <c r="DC346" s="14"/>
      <c r="DD346" s="14"/>
      <c r="DE346" s="14"/>
      <c r="DF346" s="14"/>
      <c r="DG346" s="14"/>
      <c r="DH346" s="14"/>
      <c r="DI346" s="14"/>
      <c r="DJ346" s="14"/>
    </row>
    <row r="347" spans="4:114" x14ac:dyDescent="0.25">
      <c r="D347" s="14"/>
      <c r="E347" s="15"/>
      <c r="F347" s="14"/>
      <c r="G347" s="14"/>
      <c r="H347" s="14"/>
      <c r="I347" s="14"/>
      <c r="J347" s="14"/>
      <c r="K347" s="25"/>
      <c r="L347" s="34"/>
      <c r="M347" s="34"/>
      <c r="N347" s="9"/>
      <c r="O347" s="9"/>
      <c r="P347" s="9"/>
      <c r="Q347" s="9"/>
      <c r="R347" s="9"/>
      <c r="S347" s="26"/>
      <c r="T347" s="14"/>
      <c r="U347" s="14"/>
      <c r="V347" s="14"/>
      <c r="W347" s="14"/>
      <c r="X347" s="14"/>
      <c r="Y347" s="14"/>
      <c r="Z347" s="25"/>
      <c r="AA347" s="34"/>
      <c r="AB347" s="37"/>
      <c r="AC347" s="36" t="str">
        <f t="shared" si="5"/>
        <v/>
      </c>
      <c r="AD347" s="9"/>
      <c r="AE347" s="9"/>
      <c r="AF347" s="9"/>
      <c r="AG347" s="9"/>
      <c r="AH347" s="9"/>
      <c r="AI347" s="26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  <c r="BV347" s="14"/>
      <c r="BW347" s="14"/>
      <c r="BX347" s="14"/>
      <c r="BY347" s="14"/>
      <c r="BZ347" s="14"/>
      <c r="CA347" s="14"/>
      <c r="CB347" s="14"/>
      <c r="CC347" s="14"/>
      <c r="CD347" s="14"/>
      <c r="CE347" s="14"/>
      <c r="CF347" s="14"/>
      <c r="CG347" s="14"/>
      <c r="CH347" s="14"/>
      <c r="CI347" s="14"/>
      <c r="CJ347" s="14"/>
      <c r="CK347" s="14"/>
      <c r="CL347" s="14"/>
      <c r="CM347" s="14"/>
      <c r="CN347" s="14"/>
      <c r="CO347" s="14"/>
      <c r="CP347" s="14"/>
      <c r="CQ347" s="14"/>
      <c r="CR347" s="14"/>
      <c r="CS347" s="14"/>
      <c r="CT347" s="14"/>
      <c r="CU347" s="14"/>
      <c r="CV347" s="14"/>
      <c r="CW347" s="14"/>
      <c r="CX347" s="14"/>
      <c r="CY347" s="14"/>
      <c r="CZ347" s="14"/>
      <c r="DA347" s="14"/>
      <c r="DB347" s="14"/>
      <c r="DC347" s="14"/>
      <c r="DD347" s="14"/>
      <c r="DE347" s="14"/>
      <c r="DF347" s="14"/>
      <c r="DG347" s="14"/>
      <c r="DH347" s="14"/>
      <c r="DI347" s="14"/>
      <c r="DJ347" s="14"/>
    </row>
    <row r="348" spans="4:114" x14ac:dyDescent="0.25">
      <c r="D348" s="14"/>
      <c r="E348" s="15"/>
      <c r="F348" s="14"/>
      <c r="G348" s="14"/>
      <c r="H348" s="14"/>
      <c r="I348" s="14"/>
      <c r="J348" s="14"/>
      <c r="K348" s="25"/>
      <c r="L348" s="34"/>
      <c r="M348" s="34"/>
      <c r="N348" s="9"/>
      <c r="O348" s="9"/>
      <c r="P348" s="9"/>
      <c r="Q348" s="9"/>
      <c r="R348" s="9"/>
      <c r="S348" s="26"/>
      <c r="T348" s="14"/>
      <c r="U348" s="14"/>
      <c r="V348" s="14"/>
      <c r="W348" s="14"/>
      <c r="X348" s="14"/>
      <c r="Y348" s="14"/>
      <c r="Z348" s="25"/>
      <c r="AA348" s="34"/>
      <c r="AB348" s="37"/>
      <c r="AC348" s="36" t="str">
        <f t="shared" si="5"/>
        <v/>
      </c>
      <c r="AD348" s="9"/>
      <c r="AE348" s="9"/>
      <c r="AF348" s="9"/>
      <c r="AG348" s="9"/>
      <c r="AH348" s="9"/>
      <c r="AI348" s="26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  <c r="BV348" s="14"/>
      <c r="BW348" s="14"/>
      <c r="BX348" s="14"/>
      <c r="BY348" s="14"/>
      <c r="BZ348" s="14"/>
      <c r="CA348" s="14"/>
      <c r="CB348" s="14"/>
      <c r="CC348" s="14"/>
      <c r="CD348" s="14"/>
      <c r="CE348" s="14"/>
      <c r="CF348" s="14"/>
      <c r="CG348" s="14"/>
      <c r="CH348" s="14"/>
      <c r="CI348" s="14"/>
      <c r="CJ348" s="14"/>
      <c r="CK348" s="14"/>
      <c r="CL348" s="14"/>
      <c r="CM348" s="14"/>
      <c r="CN348" s="14"/>
      <c r="CO348" s="14"/>
      <c r="CP348" s="14"/>
      <c r="CQ348" s="14"/>
      <c r="CR348" s="14"/>
      <c r="CS348" s="14"/>
      <c r="CT348" s="14"/>
      <c r="CU348" s="14"/>
      <c r="CV348" s="14"/>
      <c r="CW348" s="14"/>
      <c r="CX348" s="14"/>
      <c r="CY348" s="14"/>
      <c r="CZ348" s="14"/>
      <c r="DA348" s="14"/>
      <c r="DB348" s="14"/>
      <c r="DC348" s="14"/>
      <c r="DD348" s="14"/>
      <c r="DE348" s="14"/>
      <c r="DF348" s="14"/>
      <c r="DG348" s="14"/>
      <c r="DH348" s="14"/>
      <c r="DI348" s="14"/>
      <c r="DJ348" s="14"/>
    </row>
    <row r="349" spans="4:114" x14ac:dyDescent="0.25">
      <c r="D349" s="14"/>
      <c r="E349" s="15"/>
      <c r="F349" s="14"/>
      <c r="G349" s="14"/>
      <c r="H349" s="14"/>
      <c r="I349" s="14"/>
      <c r="J349" s="14"/>
      <c r="K349" s="25"/>
      <c r="L349" s="34"/>
      <c r="M349" s="34"/>
      <c r="N349" s="9"/>
      <c r="O349" s="9"/>
      <c r="P349" s="9"/>
      <c r="Q349" s="9"/>
      <c r="R349" s="9"/>
      <c r="S349" s="26"/>
      <c r="T349" s="14"/>
      <c r="U349" s="14"/>
      <c r="V349" s="14"/>
      <c r="W349" s="14"/>
      <c r="X349" s="14"/>
      <c r="Y349" s="14"/>
      <c r="Z349" s="25"/>
      <c r="AA349" s="34"/>
      <c r="AB349" s="37"/>
      <c r="AC349" s="36" t="str">
        <f t="shared" si="5"/>
        <v/>
      </c>
      <c r="AD349" s="9"/>
      <c r="AE349" s="9"/>
      <c r="AF349" s="9"/>
      <c r="AG349" s="9"/>
      <c r="AH349" s="9"/>
      <c r="AI349" s="26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  <c r="BV349" s="14"/>
      <c r="BW349" s="14"/>
      <c r="BX349" s="14"/>
      <c r="BY349" s="14"/>
      <c r="BZ349" s="14"/>
      <c r="CA349" s="14"/>
      <c r="CB349" s="14"/>
      <c r="CC349" s="14"/>
      <c r="CD349" s="14"/>
      <c r="CE349" s="14"/>
      <c r="CF349" s="14"/>
      <c r="CG349" s="14"/>
      <c r="CH349" s="14"/>
      <c r="CI349" s="14"/>
      <c r="CJ349" s="14"/>
      <c r="CK349" s="14"/>
      <c r="CL349" s="14"/>
      <c r="CM349" s="14"/>
      <c r="CN349" s="14"/>
      <c r="CO349" s="14"/>
      <c r="CP349" s="14"/>
      <c r="CQ349" s="14"/>
      <c r="CR349" s="14"/>
      <c r="CS349" s="14"/>
      <c r="CT349" s="14"/>
      <c r="CU349" s="14"/>
      <c r="CV349" s="14"/>
      <c r="CW349" s="14"/>
      <c r="CX349" s="14"/>
      <c r="CY349" s="14"/>
      <c r="CZ349" s="14"/>
      <c r="DA349" s="14"/>
      <c r="DB349" s="14"/>
      <c r="DC349" s="14"/>
      <c r="DD349" s="14"/>
      <c r="DE349" s="14"/>
      <c r="DF349" s="14"/>
      <c r="DG349" s="14"/>
      <c r="DH349" s="14"/>
      <c r="DI349" s="14"/>
      <c r="DJ349" s="14"/>
    </row>
    <row r="350" spans="4:114" x14ac:dyDescent="0.25">
      <c r="D350" s="14"/>
      <c r="E350" s="15"/>
      <c r="F350" s="14"/>
      <c r="G350" s="14"/>
      <c r="H350" s="14"/>
      <c r="I350" s="14"/>
      <c r="J350" s="14"/>
      <c r="K350" s="25"/>
      <c r="L350" s="34"/>
      <c r="M350" s="34"/>
      <c r="N350" s="9"/>
      <c r="O350" s="9"/>
      <c r="P350" s="9"/>
      <c r="Q350" s="9"/>
      <c r="R350" s="9"/>
      <c r="S350" s="26"/>
      <c r="T350" s="14"/>
      <c r="U350" s="14"/>
      <c r="V350" s="14"/>
      <c r="W350" s="14"/>
      <c r="X350" s="14"/>
      <c r="Y350" s="14"/>
      <c r="Z350" s="25"/>
      <c r="AA350" s="34"/>
      <c r="AB350" s="37"/>
      <c r="AC350" s="36" t="str">
        <f t="shared" si="5"/>
        <v/>
      </c>
      <c r="AD350" s="9"/>
      <c r="AE350" s="9"/>
      <c r="AF350" s="9"/>
      <c r="AG350" s="9"/>
      <c r="AH350" s="9"/>
      <c r="AI350" s="26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  <c r="BV350" s="14"/>
      <c r="BW350" s="14"/>
      <c r="BX350" s="14"/>
      <c r="BY350" s="14"/>
      <c r="BZ350" s="14"/>
      <c r="CA350" s="14"/>
      <c r="CB350" s="14"/>
      <c r="CC350" s="14"/>
      <c r="CD350" s="14"/>
      <c r="CE350" s="14"/>
      <c r="CF350" s="14"/>
      <c r="CG350" s="14"/>
      <c r="CH350" s="14"/>
      <c r="CI350" s="14"/>
      <c r="CJ350" s="14"/>
      <c r="CK350" s="14"/>
      <c r="CL350" s="14"/>
      <c r="CM350" s="14"/>
      <c r="CN350" s="14"/>
      <c r="CO350" s="14"/>
      <c r="CP350" s="14"/>
      <c r="CQ350" s="14"/>
      <c r="CR350" s="14"/>
      <c r="CS350" s="14"/>
      <c r="CT350" s="14"/>
      <c r="CU350" s="14"/>
      <c r="CV350" s="14"/>
      <c r="CW350" s="14"/>
      <c r="CX350" s="14"/>
      <c r="CY350" s="14"/>
      <c r="CZ350" s="14"/>
      <c r="DA350" s="14"/>
      <c r="DB350" s="14"/>
      <c r="DC350" s="14"/>
      <c r="DD350" s="14"/>
      <c r="DE350" s="14"/>
      <c r="DF350" s="14"/>
      <c r="DG350" s="14"/>
      <c r="DH350" s="14"/>
      <c r="DI350" s="14"/>
      <c r="DJ350" s="14"/>
    </row>
    <row r="351" spans="4:114" x14ac:dyDescent="0.25">
      <c r="D351" s="14"/>
      <c r="E351" s="15"/>
      <c r="F351" s="14"/>
      <c r="G351" s="14"/>
      <c r="H351" s="14"/>
      <c r="I351" s="14"/>
      <c r="J351" s="14"/>
      <c r="K351" s="25"/>
      <c r="L351" s="34"/>
      <c r="M351" s="34"/>
      <c r="N351" s="9"/>
      <c r="O351" s="9"/>
      <c r="P351" s="9"/>
      <c r="Q351" s="9"/>
      <c r="R351" s="9"/>
      <c r="S351" s="26"/>
      <c r="T351" s="14"/>
      <c r="U351" s="14"/>
      <c r="V351" s="14"/>
      <c r="W351" s="14"/>
      <c r="X351" s="14"/>
      <c r="Y351" s="14"/>
      <c r="Z351" s="25"/>
      <c r="AA351" s="34"/>
      <c r="AB351" s="37"/>
      <c r="AC351" s="36" t="str">
        <f t="shared" si="5"/>
        <v/>
      </c>
      <c r="AD351" s="9"/>
      <c r="AE351" s="9"/>
      <c r="AF351" s="9"/>
      <c r="AG351" s="9"/>
      <c r="AH351" s="9"/>
      <c r="AI351" s="26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  <c r="BV351" s="14"/>
      <c r="BW351" s="14"/>
      <c r="BX351" s="14"/>
      <c r="BY351" s="14"/>
      <c r="BZ351" s="14"/>
      <c r="CA351" s="14"/>
      <c r="CB351" s="14"/>
      <c r="CC351" s="14"/>
      <c r="CD351" s="14"/>
      <c r="CE351" s="14"/>
      <c r="CF351" s="14"/>
      <c r="CG351" s="14"/>
      <c r="CH351" s="14"/>
      <c r="CI351" s="14"/>
      <c r="CJ351" s="14"/>
      <c r="CK351" s="14"/>
      <c r="CL351" s="14"/>
      <c r="CM351" s="14"/>
      <c r="CN351" s="14"/>
      <c r="CO351" s="14"/>
      <c r="CP351" s="14"/>
      <c r="CQ351" s="14"/>
      <c r="CR351" s="14"/>
      <c r="CS351" s="14"/>
      <c r="CT351" s="14"/>
      <c r="CU351" s="14"/>
      <c r="CV351" s="14"/>
      <c r="CW351" s="14"/>
      <c r="CX351" s="14"/>
      <c r="CY351" s="14"/>
      <c r="CZ351" s="14"/>
      <c r="DA351" s="14"/>
      <c r="DB351" s="14"/>
      <c r="DC351" s="14"/>
      <c r="DD351" s="14"/>
      <c r="DE351" s="14"/>
      <c r="DF351" s="14"/>
      <c r="DG351" s="14"/>
      <c r="DH351" s="14"/>
      <c r="DI351" s="14"/>
      <c r="DJ351" s="14"/>
    </row>
    <row r="352" spans="4:114" x14ac:dyDescent="0.25">
      <c r="D352" s="14"/>
      <c r="E352" s="15"/>
      <c r="F352" s="14"/>
      <c r="G352" s="14"/>
      <c r="H352" s="14"/>
      <c r="I352" s="14"/>
      <c r="J352" s="14"/>
      <c r="K352" s="25"/>
      <c r="L352" s="34"/>
      <c r="M352" s="34"/>
      <c r="N352" s="9"/>
      <c r="O352" s="9"/>
      <c r="P352" s="9"/>
      <c r="Q352" s="9"/>
      <c r="R352" s="9"/>
      <c r="S352" s="26"/>
      <c r="T352" s="14"/>
      <c r="U352" s="14"/>
      <c r="V352" s="14"/>
      <c r="W352" s="14"/>
      <c r="X352" s="14"/>
      <c r="Y352" s="14"/>
      <c r="Z352" s="25"/>
      <c r="AA352" s="34"/>
      <c r="AB352" s="37"/>
      <c r="AC352" s="36" t="str">
        <f t="shared" si="5"/>
        <v/>
      </c>
      <c r="AD352" s="9"/>
      <c r="AE352" s="9"/>
      <c r="AF352" s="9"/>
      <c r="AG352" s="9"/>
      <c r="AH352" s="9"/>
      <c r="AI352" s="26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14"/>
      <c r="CC352" s="14"/>
      <c r="CD352" s="14"/>
      <c r="CE352" s="14"/>
      <c r="CF352" s="14"/>
      <c r="CG352" s="14"/>
      <c r="CH352" s="14"/>
      <c r="CI352" s="14"/>
      <c r="CJ352" s="14"/>
      <c r="CK352" s="14"/>
      <c r="CL352" s="14"/>
      <c r="CM352" s="14"/>
      <c r="CN352" s="14"/>
      <c r="CO352" s="14"/>
      <c r="CP352" s="14"/>
      <c r="CQ352" s="14"/>
      <c r="CR352" s="14"/>
      <c r="CS352" s="14"/>
      <c r="CT352" s="14"/>
      <c r="CU352" s="14"/>
      <c r="CV352" s="14"/>
      <c r="CW352" s="14"/>
      <c r="CX352" s="14"/>
      <c r="CY352" s="14"/>
      <c r="CZ352" s="14"/>
      <c r="DA352" s="14"/>
      <c r="DB352" s="14"/>
      <c r="DC352" s="14"/>
      <c r="DD352" s="14"/>
      <c r="DE352" s="14"/>
      <c r="DF352" s="14"/>
      <c r="DG352" s="14"/>
      <c r="DH352" s="14"/>
      <c r="DI352" s="14"/>
      <c r="DJ352" s="14"/>
    </row>
    <row r="353" spans="4:114" x14ac:dyDescent="0.25">
      <c r="D353" s="14"/>
      <c r="E353" s="15"/>
      <c r="F353" s="14"/>
      <c r="G353" s="14"/>
      <c r="H353" s="14"/>
      <c r="I353" s="14"/>
      <c r="J353" s="14"/>
      <c r="K353" s="25"/>
      <c r="L353" s="34"/>
      <c r="M353" s="34"/>
      <c r="N353" s="9"/>
      <c r="O353" s="9"/>
      <c r="P353" s="9"/>
      <c r="Q353" s="9"/>
      <c r="R353" s="9"/>
      <c r="S353" s="26"/>
      <c r="T353" s="14"/>
      <c r="U353" s="14"/>
      <c r="V353" s="14"/>
      <c r="W353" s="14"/>
      <c r="X353" s="14"/>
      <c r="Y353" s="14"/>
      <c r="Z353" s="25"/>
      <c r="AA353" s="34"/>
      <c r="AB353" s="37"/>
      <c r="AC353" s="36" t="str">
        <f t="shared" si="5"/>
        <v/>
      </c>
      <c r="AD353" s="9"/>
      <c r="AE353" s="9"/>
      <c r="AF353" s="9"/>
      <c r="AG353" s="9"/>
      <c r="AH353" s="9"/>
      <c r="AI353" s="26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  <c r="BV353" s="14"/>
      <c r="BW353" s="14"/>
      <c r="BX353" s="14"/>
      <c r="BY353" s="14"/>
      <c r="BZ353" s="14"/>
      <c r="CA353" s="14"/>
      <c r="CB353" s="14"/>
      <c r="CC353" s="14"/>
      <c r="CD353" s="14"/>
      <c r="CE353" s="14"/>
      <c r="CF353" s="14"/>
      <c r="CG353" s="14"/>
      <c r="CH353" s="14"/>
      <c r="CI353" s="14"/>
      <c r="CJ353" s="14"/>
      <c r="CK353" s="14"/>
      <c r="CL353" s="14"/>
      <c r="CM353" s="14"/>
      <c r="CN353" s="14"/>
      <c r="CO353" s="14"/>
      <c r="CP353" s="14"/>
      <c r="CQ353" s="14"/>
      <c r="CR353" s="14"/>
      <c r="CS353" s="14"/>
      <c r="CT353" s="14"/>
      <c r="CU353" s="14"/>
      <c r="CV353" s="14"/>
      <c r="CW353" s="14"/>
      <c r="CX353" s="14"/>
      <c r="CY353" s="14"/>
      <c r="CZ353" s="14"/>
      <c r="DA353" s="14"/>
      <c r="DB353" s="14"/>
      <c r="DC353" s="14"/>
      <c r="DD353" s="14"/>
      <c r="DE353" s="14"/>
      <c r="DF353" s="14"/>
      <c r="DG353" s="14"/>
      <c r="DH353" s="14"/>
      <c r="DI353" s="14"/>
      <c r="DJ353" s="14"/>
    </row>
    <row r="354" spans="4:114" x14ac:dyDescent="0.25">
      <c r="D354" s="14"/>
      <c r="E354" s="15"/>
      <c r="F354" s="14"/>
      <c r="G354" s="14"/>
      <c r="H354" s="14"/>
      <c r="I354" s="14"/>
      <c r="J354" s="14"/>
      <c r="K354" s="25"/>
      <c r="L354" s="34"/>
      <c r="M354" s="34"/>
      <c r="N354" s="9"/>
      <c r="O354" s="9"/>
      <c r="P354" s="9"/>
      <c r="Q354" s="9"/>
      <c r="R354" s="9"/>
      <c r="S354" s="26"/>
      <c r="T354" s="14"/>
      <c r="U354" s="14"/>
      <c r="V354" s="14"/>
      <c r="W354" s="14"/>
      <c r="X354" s="14"/>
      <c r="Y354" s="14"/>
      <c r="Z354" s="25"/>
      <c r="AA354" s="34"/>
      <c r="AB354" s="37"/>
      <c r="AC354" s="36" t="str">
        <f t="shared" si="5"/>
        <v/>
      </c>
      <c r="AD354" s="9"/>
      <c r="AE354" s="9"/>
      <c r="AF354" s="9"/>
      <c r="AG354" s="9"/>
      <c r="AH354" s="9"/>
      <c r="AI354" s="26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  <c r="BV354" s="14"/>
      <c r="BW354" s="14"/>
      <c r="BX354" s="14"/>
      <c r="BY354" s="14"/>
      <c r="BZ354" s="14"/>
      <c r="CA354" s="14"/>
      <c r="CB354" s="14"/>
      <c r="CC354" s="14"/>
      <c r="CD354" s="14"/>
      <c r="CE354" s="14"/>
      <c r="CF354" s="14"/>
      <c r="CG354" s="14"/>
      <c r="CH354" s="14"/>
      <c r="CI354" s="14"/>
      <c r="CJ354" s="14"/>
      <c r="CK354" s="14"/>
      <c r="CL354" s="14"/>
      <c r="CM354" s="14"/>
      <c r="CN354" s="14"/>
      <c r="CO354" s="14"/>
      <c r="CP354" s="14"/>
      <c r="CQ354" s="14"/>
      <c r="CR354" s="14"/>
      <c r="CS354" s="14"/>
      <c r="CT354" s="14"/>
      <c r="CU354" s="14"/>
      <c r="CV354" s="14"/>
      <c r="CW354" s="14"/>
      <c r="CX354" s="14"/>
      <c r="CY354" s="14"/>
      <c r="CZ354" s="14"/>
      <c r="DA354" s="14"/>
      <c r="DB354" s="14"/>
      <c r="DC354" s="14"/>
      <c r="DD354" s="14"/>
      <c r="DE354" s="14"/>
      <c r="DF354" s="14"/>
      <c r="DG354" s="14"/>
      <c r="DH354" s="14"/>
      <c r="DI354" s="14"/>
      <c r="DJ354" s="14"/>
    </row>
    <row r="355" spans="4:114" x14ac:dyDescent="0.25">
      <c r="D355" s="14"/>
      <c r="E355" s="15"/>
      <c r="F355" s="14"/>
      <c r="G355" s="14"/>
      <c r="H355" s="14"/>
      <c r="I355" s="14"/>
      <c r="J355" s="14"/>
      <c r="K355" s="25"/>
      <c r="L355" s="34"/>
      <c r="M355" s="34"/>
      <c r="N355" s="9"/>
      <c r="O355" s="9"/>
      <c r="P355" s="9"/>
      <c r="Q355" s="9"/>
      <c r="R355" s="9"/>
      <c r="S355" s="26"/>
      <c r="T355" s="14"/>
      <c r="U355" s="14"/>
      <c r="V355" s="14"/>
      <c r="W355" s="14"/>
      <c r="X355" s="14"/>
      <c r="Y355" s="14"/>
      <c r="Z355" s="25"/>
      <c r="AA355" s="34"/>
      <c r="AB355" s="37"/>
      <c r="AC355" s="36" t="str">
        <f t="shared" si="5"/>
        <v/>
      </c>
      <c r="AD355" s="9"/>
      <c r="AE355" s="9"/>
      <c r="AF355" s="9"/>
      <c r="AG355" s="9"/>
      <c r="AH355" s="9"/>
      <c r="AI355" s="26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  <c r="BV355" s="14"/>
      <c r="BW355" s="14"/>
      <c r="BX355" s="14"/>
      <c r="BY355" s="14"/>
      <c r="BZ355" s="14"/>
      <c r="CA355" s="14"/>
      <c r="CB355" s="14"/>
      <c r="CC355" s="14"/>
      <c r="CD355" s="14"/>
      <c r="CE355" s="14"/>
      <c r="CF355" s="14"/>
      <c r="CG355" s="14"/>
      <c r="CH355" s="14"/>
      <c r="CI355" s="14"/>
      <c r="CJ355" s="14"/>
      <c r="CK355" s="14"/>
      <c r="CL355" s="14"/>
      <c r="CM355" s="14"/>
      <c r="CN355" s="14"/>
      <c r="CO355" s="14"/>
      <c r="CP355" s="14"/>
      <c r="CQ355" s="14"/>
      <c r="CR355" s="14"/>
      <c r="CS355" s="14"/>
      <c r="CT355" s="14"/>
      <c r="CU355" s="14"/>
      <c r="CV355" s="14"/>
      <c r="CW355" s="14"/>
      <c r="CX355" s="14"/>
      <c r="CY355" s="14"/>
      <c r="CZ355" s="14"/>
      <c r="DA355" s="14"/>
      <c r="DB355" s="14"/>
      <c r="DC355" s="14"/>
      <c r="DD355" s="14"/>
      <c r="DE355" s="14"/>
      <c r="DF355" s="14"/>
      <c r="DG355" s="14"/>
      <c r="DH355" s="14"/>
      <c r="DI355" s="14"/>
      <c r="DJ355" s="14"/>
    </row>
    <row r="356" spans="4:114" x14ac:dyDescent="0.25">
      <c r="D356" s="14"/>
      <c r="E356" s="15"/>
      <c r="F356" s="14"/>
      <c r="G356" s="14"/>
      <c r="H356" s="14"/>
      <c r="I356" s="14"/>
      <c r="J356" s="14"/>
      <c r="K356" s="25"/>
      <c r="L356" s="34"/>
      <c r="M356" s="34"/>
      <c r="N356" s="9"/>
      <c r="O356" s="9"/>
      <c r="P356" s="9"/>
      <c r="Q356" s="9"/>
      <c r="R356" s="9"/>
      <c r="S356" s="26"/>
      <c r="T356" s="14"/>
      <c r="U356" s="14"/>
      <c r="V356" s="14"/>
      <c r="W356" s="14"/>
      <c r="X356" s="14"/>
      <c r="Y356" s="14"/>
      <c r="Z356" s="25"/>
      <c r="AA356" s="34"/>
      <c r="AB356" s="37"/>
      <c r="AC356" s="36" t="str">
        <f t="shared" si="5"/>
        <v/>
      </c>
      <c r="AD356" s="9"/>
      <c r="AE356" s="9"/>
      <c r="AF356" s="9"/>
      <c r="AG356" s="9"/>
      <c r="AH356" s="9"/>
      <c r="AI356" s="26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  <c r="BV356" s="14"/>
      <c r="BW356" s="14"/>
      <c r="BX356" s="14"/>
      <c r="BY356" s="14"/>
      <c r="BZ356" s="14"/>
      <c r="CA356" s="14"/>
      <c r="CB356" s="14"/>
      <c r="CC356" s="14"/>
      <c r="CD356" s="14"/>
      <c r="CE356" s="14"/>
      <c r="CF356" s="14"/>
      <c r="CG356" s="14"/>
      <c r="CH356" s="14"/>
      <c r="CI356" s="14"/>
      <c r="CJ356" s="14"/>
      <c r="CK356" s="14"/>
      <c r="CL356" s="14"/>
      <c r="CM356" s="14"/>
      <c r="CN356" s="14"/>
      <c r="CO356" s="14"/>
      <c r="CP356" s="14"/>
      <c r="CQ356" s="14"/>
      <c r="CR356" s="14"/>
      <c r="CS356" s="14"/>
      <c r="CT356" s="14"/>
      <c r="CU356" s="14"/>
      <c r="CV356" s="14"/>
      <c r="CW356" s="14"/>
      <c r="CX356" s="14"/>
      <c r="CY356" s="14"/>
      <c r="CZ356" s="14"/>
      <c r="DA356" s="14"/>
      <c r="DB356" s="14"/>
      <c r="DC356" s="14"/>
      <c r="DD356" s="14"/>
      <c r="DE356" s="14"/>
      <c r="DF356" s="14"/>
      <c r="DG356" s="14"/>
      <c r="DH356" s="14"/>
      <c r="DI356" s="14"/>
      <c r="DJ356" s="14"/>
    </row>
    <row r="357" spans="4:114" x14ac:dyDescent="0.25">
      <c r="D357" s="14"/>
      <c r="E357" s="15"/>
      <c r="F357" s="14"/>
      <c r="G357" s="14"/>
      <c r="H357" s="14"/>
      <c r="I357" s="14"/>
      <c r="J357" s="14"/>
      <c r="K357" s="25"/>
      <c r="L357" s="34"/>
      <c r="M357" s="34"/>
      <c r="N357" s="9"/>
      <c r="O357" s="9"/>
      <c r="P357" s="9"/>
      <c r="Q357" s="9"/>
      <c r="R357" s="9"/>
      <c r="S357" s="26"/>
      <c r="T357" s="14"/>
      <c r="U357" s="14"/>
      <c r="V357" s="14"/>
      <c r="W357" s="14"/>
      <c r="X357" s="14"/>
      <c r="Y357" s="14"/>
      <c r="Z357" s="25"/>
      <c r="AA357" s="34"/>
      <c r="AB357" s="37"/>
      <c r="AC357" s="36" t="str">
        <f t="shared" si="5"/>
        <v/>
      </c>
      <c r="AD357" s="9"/>
      <c r="AE357" s="9"/>
      <c r="AF357" s="9"/>
      <c r="AG357" s="9"/>
      <c r="AH357" s="9"/>
      <c r="AI357" s="26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  <c r="BV357" s="14"/>
      <c r="BW357" s="14"/>
      <c r="BX357" s="14"/>
      <c r="BY357" s="14"/>
      <c r="BZ357" s="14"/>
      <c r="CA357" s="14"/>
      <c r="CB357" s="14"/>
      <c r="CC357" s="14"/>
      <c r="CD357" s="14"/>
      <c r="CE357" s="14"/>
      <c r="CF357" s="14"/>
      <c r="CG357" s="14"/>
      <c r="CH357" s="14"/>
      <c r="CI357" s="14"/>
      <c r="CJ357" s="14"/>
      <c r="CK357" s="14"/>
      <c r="CL357" s="14"/>
      <c r="CM357" s="14"/>
      <c r="CN357" s="14"/>
      <c r="CO357" s="14"/>
      <c r="CP357" s="14"/>
      <c r="CQ357" s="14"/>
      <c r="CR357" s="14"/>
      <c r="CS357" s="14"/>
      <c r="CT357" s="14"/>
      <c r="CU357" s="14"/>
      <c r="CV357" s="14"/>
      <c r="CW357" s="14"/>
      <c r="CX357" s="14"/>
      <c r="CY357" s="14"/>
      <c r="CZ357" s="14"/>
      <c r="DA357" s="14"/>
      <c r="DB357" s="14"/>
      <c r="DC357" s="14"/>
      <c r="DD357" s="14"/>
      <c r="DE357" s="14"/>
      <c r="DF357" s="14"/>
      <c r="DG357" s="14"/>
      <c r="DH357" s="14"/>
      <c r="DI357" s="14"/>
      <c r="DJ357" s="14"/>
    </row>
    <row r="358" spans="4:114" x14ac:dyDescent="0.25">
      <c r="D358" s="14"/>
      <c r="E358" s="15"/>
      <c r="F358" s="14"/>
      <c r="G358" s="14"/>
      <c r="H358" s="14"/>
      <c r="I358" s="14"/>
      <c r="J358" s="14"/>
      <c r="K358" s="25"/>
      <c r="L358" s="34"/>
      <c r="M358" s="34"/>
      <c r="N358" s="9"/>
      <c r="O358" s="9"/>
      <c r="P358" s="9"/>
      <c r="Q358" s="9"/>
      <c r="R358" s="9"/>
      <c r="S358" s="26"/>
      <c r="T358" s="14"/>
      <c r="U358" s="14"/>
      <c r="V358" s="14"/>
      <c r="W358" s="14"/>
      <c r="X358" s="14"/>
      <c r="Y358" s="14"/>
      <c r="Z358" s="25"/>
      <c r="AA358" s="34"/>
      <c r="AB358" s="37"/>
      <c r="AC358" s="36" t="str">
        <f t="shared" si="5"/>
        <v/>
      </c>
      <c r="AD358" s="9"/>
      <c r="AE358" s="9"/>
      <c r="AF358" s="9"/>
      <c r="AG358" s="9"/>
      <c r="AH358" s="9"/>
      <c r="AI358" s="26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  <c r="BV358" s="14"/>
      <c r="BW358" s="14"/>
      <c r="BX358" s="14"/>
      <c r="BY358" s="14"/>
      <c r="BZ358" s="14"/>
      <c r="CA358" s="14"/>
      <c r="CB358" s="14"/>
      <c r="CC358" s="14"/>
      <c r="CD358" s="14"/>
      <c r="CE358" s="14"/>
      <c r="CF358" s="14"/>
      <c r="CG358" s="14"/>
      <c r="CH358" s="14"/>
      <c r="CI358" s="14"/>
      <c r="CJ358" s="14"/>
      <c r="CK358" s="14"/>
      <c r="CL358" s="14"/>
      <c r="CM358" s="14"/>
      <c r="CN358" s="14"/>
      <c r="CO358" s="14"/>
      <c r="CP358" s="14"/>
      <c r="CQ358" s="14"/>
      <c r="CR358" s="14"/>
      <c r="CS358" s="14"/>
      <c r="CT358" s="14"/>
      <c r="CU358" s="14"/>
      <c r="CV358" s="14"/>
      <c r="CW358" s="14"/>
      <c r="CX358" s="14"/>
      <c r="CY358" s="14"/>
      <c r="CZ358" s="14"/>
      <c r="DA358" s="14"/>
      <c r="DB358" s="14"/>
      <c r="DC358" s="14"/>
      <c r="DD358" s="14"/>
      <c r="DE358" s="14"/>
      <c r="DF358" s="14"/>
      <c r="DG358" s="14"/>
      <c r="DH358" s="14"/>
      <c r="DI358" s="14"/>
      <c r="DJ358" s="14"/>
    </row>
    <row r="359" spans="4:114" x14ac:dyDescent="0.25">
      <c r="D359" s="14"/>
      <c r="E359" s="15"/>
      <c r="F359" s="14"/>
      <c r="G359" s="14"/>
      <c r="H359" s="14"/>
      <c r="I359" s="14"/>
      <c r="J359" s="14"/>
      <c r="K359" s="25"/>
      <c r="L359" s="34"/>
      <c r="M359" s="34"/>
      <c r="N359" s="9"/>
      <c r="O359" s="9"/>
      <c r="P359" s="9"/>
      <c r="Q359" s="9"/>
      <c r="R359" s="9"/>
      <c r="S359" s="26"/>
      <c r="T359" s="14"/>
      <c r="U359" s="14"/>
      <c r="V359" s="14"/>
      <c r="W359" s="14"/>
      <c r="X359" s="14"/>
      <c r="Y359" s="14"/>
      <c r="Z359" s="25"/>
      <c r="AA359" s="34"/>
      <c r="AB359" s="37"/>
      <c r="AC359" s="36" t="str">
        <f t="shared" si="5"/>
        <v/>
      </c>
      <c r="AD359" s="9"/>
      <c r="AE359" s="9"/>
      <c r="AF359" s="9"/>
      <c r="AG359" s="9"/>
      <c r="AH359" s="9"/>
      <c r="AI359" s="26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  <c r="BV359" s="14"/>
      <c r="BW359" s="14"/>
      <c r="BX359" s="14"/>
      <c r="BY359" s="14"/>
      <c r="BZ359" s="14"/>
      <c r="CA359" s="14"/>
      <c r="CB359" s="14"/>
      <c r="CC359" s="14"/>
      <c r="CD359" s="14"/>
      <c r="CE359" s="14"/>
      <c r="CF359" s="14"/>
      <c r="CG359" s="14"/>
      <c r="CH359" s="14"/>
      <c r="CI359" s="14"/>
      <c r="CJ359" s="14"/>
      <c r="CK359" s="14"/>
      <c r="CL359" s="14"/>
      <c r="CM359" s="14"/>
      <c r="CN359" s="14"/>
      <c r="CO359" s="14"/>
      <c r="CP359" s="14"/>
      <c r="CQ359" s="14"/>
      <c r="CR359" s="14"/>
      <c r="CS359" s="14"/>
      <c r="CT359" s="14"/>
      <c r="CU359" s="14"/>
      <c r="CV359" s="14"/>
      <c r="CW359" s="14"/>
      <c r="CX359" s="14"/>
      <c r="CY359" s="14"/>
      <c r="CZ359" s="14"/>
      <c r="DA359" s="14"/>
      <c r="DB359" s="14"/>
      <c r="DC359" s="14"/>
      <c r="DD359" s="14"/>
      <c r="DE359" s="14"/>
      <c r="DF359" s="14"/>
      <c r="DG359" s="14"/>
      <c r="DH359" s="14"/>
      <c r="DI359" s="14"/>
      <c r="DJ359" s="14"/>
    </row>
    <row r="360" spans="4:114" x14ac:dyDescent="0.25">
      <c r="D360" s="14"/>
      <c r="E360" s="15"/>
      <c r="F360" s="14"/>
      <c r="G360" s="14"/>
      <c r="H360" s="14"/>
      <c r="I360" s="14"/>
      <c r="J360" s="14"/>
      <c r="K360" s="25"/>
      <c r="L360" s="34"/>
      <c r="M360" s="34"/>
      <c r="N360" s="9"/>
      <c r="O360" s="9"/>
      <c r="P360" s="9"/>
      <c r="Q360" s="9"/>
      <c r="R360" s="9"/>
      <c r="S360" s="26"/>
      <c r="T360" s="14"/>
      <c r="U360" s="14"/>
      <c r="V360" s="14"/>
      <c r="W360" s="14"/>
      <c r="X360" s="14"/>
      <c r="Y360" s="14"/>
      <c r="Z360" s="25"/>
      <c r="AA360" s="34"/>
      <c r="AB360" s="37"/>
      <c r="AC360" s="36" t="str">
        <f t="shared" si="5"/>
        <v/>
      </c>
      <c r="AD360" s="9"/>
      <c r="AE360" s="9"/>
      <c r="AF360" s="9"/>
      <c r="AG360" s="9"/>
      <c r="AH360" s="9"/>
      <c r="AI360" s="26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  <c r="BV360" s="14"/>
      <c r="BW360" s="14"/>
      <c r="BX360" s="14"/>
      <c r="BY360" s="14"/>
      <c r="BZ360" s="14"/>
      <c r="CA360" s="14"/>
      <c r="CB360" s="14"/>
      <c r="CC360" s="14"/>
      <c r="CD360" s="14"/>
      <c r="CE360" s="14"/>
      <c r="CF360" s="14"/>
      <c r="CG360" s="14"/>
      <c r="CH360" s="14"/>
      <c r="CI360" s="14"/>
      <c r="CJ360" s="14"/>
      <c r="CK360" s="14"/>
      <c r="CL360" s="14"/>
      <c r="CM360" s="14"/>
      <c r="CN360" s="14"/>
      <c r="CO360" s="14"/>
      <c r="CP360" s="14"/>
      <c r="CQ360" s="14"/>
      <c r="CR360" s="14"/>
      <c r="CS360" s="14"/>
      <c r="CT360" s="14"/>
      <c r="CU360" s="14"/>
      <c r="CV360" s="14"/>
      <c r="CW360" s="14"/>
      <c r="CX360" s="14"/>
      <c r="CY360" s="14"/>
      <c r="CZ360" s="14"/>
      <c r="DA360" s="14"/>
      <c r="DB360" s="14"/>
      <c r="DC360" s="14"/>
      <c r="DD360" s="14"/>
      <c r="DE360" s="14"/>
      <c r="DF360" s="14"/>
      <c r="DG360" s="14"/>
      <c r="DH360" s="14"/>
      <c r="DI360" s="14"/>
      <c r="DJ360" s="14"/>
    </row>
    <row r="361" spans="4:114" x14ac:dyDescent="0.25">
      <c r="D361" s="14"/>
      <c r="E361" s="15"/>
      <c r="F361" s="14"/>
      <c r="G361" s="14"/>
      <c r="H361" s="14"/>
      <c r="I361" s="14"/>
      <c r="J361" s="14"/>
      <c r="K361" s="25"/>
      <c r="L361" s="34"/>
      <c r="M361" s="34"/>
      <c r="N361" s="9"/>
      <c r="O361" s="9"/>
      <c r="P361" s="9"/>
      <c r="Q361" s="9"/>
      <c r="R361" s="9"/>
      <c r="S361" s="26"/>
      <c r="T361" s="14"/>
      <c r="U361" s="14"/>
      <c r="V361" s="14"/>
      <c r="W361" s="14"/>
      <c r="X361" s="14"/>
      <c r="Y361" s="14"/>
      <c r="Z361" s="25"/>
      <c r="AA361" s="34"/>
      <c r="AB361" s="37"/>
      <c r="AC361" s="36" t="str">
        <f t="shared" si="5"/>
        <v/>
      </c>
      <c r="AD361" s="9"/>
      <c r="AE361" s="9"/>
      <c r="AF361" s="9"/>
      <c r="AG361" s="9"/>
      <c r="AH361" s="9"/>
      <c r="AI361" s="26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  <c r="BH361" s="14"/>
      <c r="BI361" s="14"/>
      <c r="BJ361" s="14"/>
      <c r="BK361" s="14"/>
      <c r="BL361" s="14"/>
      <c r="BM361" s="14"/>
      <c r="BN361" s="14"/>
      <c r="BO361" s="14"/>
      <c r="BP361" s="14"/>
      <c r="BQ361" s="14"/>
      <c r="BR361" s="14"/>
      <c r="BS361" s="14"/>
      <c r="BT361" s="14"/>
      <c r="BU361" s="14"/>
      <c r="BV361" s="14"/>
      <c r="BW361" s="14"/>
      <c r="BX361" s="14"/>
      <c r="BY361" s="14"/>
      <c r="BZ361" s="14"/>
      <c r="CA361" s="14"/>
      <c r="CB361" s="14"/>
      <c r="CC361" s="14"/>
      <c r="CD361" s="14"/>
      <c r="CE361" s="14"/>
      <c r="CF361" s="14"/>
      <c r="CG361" s="14"/>
      <c r="CH361" s="14"/>
      <c r="CI361" s="14"/>
      <c r="CJ361" s="14"/>
      <c r="CK361" s="14"/>
      <c r="CL361" s="14"/>
      <c r="CM361" s="14"/>
      <c r="CN361" s="14"/>
      <c r="CO361" s="14"/>
      <c r="CP361" s="14"/>
      <c r="CQ361" s="14"/>
      <c r="CR361" s="14"/>
      <c r="CS361" s="14"/>
      <c r="CT361" s="14"/>
      <c r="CU361" s="14"/>
      <c r="CV361" s="14"/>
      <c r="CW361" s="14"/>
      <c r="CX361" s="14"/>
      <c r="CY361" s="14"/>
      <c r="CZ361" s="14"/>
      <c r="DA361" s="14"/>
      <c r="DB361" s="14"/>
      <c r="DC361" s="14"/>
      <c r="DD361" s="14"/>
      <c r="DE361" s="14"/>
      <c r="DF361" s="14"/>
      <c r="DG361" s="14"/>
      <c r="DH361" s="14"/>
      <c r="DI361" s="14"/>
      <c r="DJ361" s="14"/>
    </row>
    <row r="362" spans="4:114" x14ac:dyDescent="0.25">
      <c r="D362" s="14"/>
      <c r="E362" s="15"/>
      <c r="F362" s="14"/>
      <c r="G362" s="14"/>
      <c r="H362" s="14"/>
      <c r="I362" s="14"/>
      <c r="J362" s="14"/>
      <c r="K362" s="25"/>
      <c r="L362" s="34"/>
      <c r="M362" s="34"/>
      <c r="N362" s="9"/>
      <c r="O362" s="9"/>
      <c r="P362" s="9"/>
      <c r="Q362" s="9"/>
      <c r="R362" s="9"/>
      <c r="S362" s="26"/>
      <c r="T362" s="14"/>
      <c r="U362" s="14"/>
      <c r="V362" s="14"/>
      <c r="W362" s="14"/>
      <c r="X362" s="14"/>
      <c r="Y362" s="14"/>
      <c r="Z362" s="25"/>
      <c r="AA362" s="34"/>
      <c r="AB362" s="37"/>
      <c r="AC362" s="36" t="str">
        <f t="shared" si="5"/>
        <v/>
      </c>
      <c r="AD362" s="9"/>
      <c r="AE362" s="9"/>
      <c r="AF362" s="9"/>
      <c r="AG362" s="9"/>
      <c r="AH362" s="9"/>
      <c r="AI362" s="26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  <c r="BH362" s="14"/>
      <c r="BI362" s="14"/>
      <c r="BJ362" s="14"/>
      <c r="BK362" s="14"/>
      <c r="BL362" s="14"/>
      <c r="BM362" s="14"/>
      <c r="BN362" s="14"/>
      <c r="BO362" s="14"/>
      <c r="BP362" s="14"/>
      <c r="BQ362" s="14"/>
      <c r="BR362" s="14"/>
      <c r="BS362" s="14"/>
      <c r="BT362" s="14"/>
      <c r="BU362" s="14"/>
      <c r="BV362" s="14"/>
      <c r="BW362" s="14"/>
      <c r="BX362" s="14"/>
      <c r="BY362" s="14"/>
      <c r="BZ362" s="14"/>
      <c r="CA362" s="14"/>
      <c r="CB362" s="14"/>
      <c r="CC362" s="14"/>
      <c r="CD362" s="14"/>
      <c r="CE362" s="14"/>
      <c r="CF362" s="14"/>
      <c r="CG362" s="14"/>
      <c r="CH362" s="14"/>
      <c r="CI362" s="14"/>
      <c r="CJ362" s="14"/>
      <c r="CK362" s="14"/>
      <c r="CL362" s="14"/>
      <c r="CM362" s="14"/>
      <c r="CN362" s="14"/>
      <c r="CO362" s="14"/>
      <c r="CP362" s="14"/>
      <c r="CQ362" s="14"/>
      <c r="CR362" s="14"/>
      <c r="CS362" s="14"/>
      <c r="CT362" s="14"/>
      <c r="CU362" s="14"/>
      <c r="CV362" s="14"/>
      <c r="CW362" s="14"/>
      <c r="CX362" s="14"/>
      <c r="CY362" s="14"/>
      <c r="CZ362" s="14"/>
      <c r="DA362" s="14"/>
      <c r="DB362" s="14"/>
      <c r="DC362" s="14"/>
      <c r="DD362" s="14"/>
      <c r="DE362" s="14"/>
      <c r="DF362" s="14"/>
      <c r="DG362" s="14"/>
      <c r="DH362" s="14"/>
      <c r="DI362" s="14"/>
      <c r="DJ362" s="14"/>
    </row>
    <row r="363" spans="4:114" x14ac:dyDescent="0.25">
      <c r="D363" s="14"/>
      <c r="E363" s="15"/>
      <c r="F363" s="14"/>
      <c r="G363" s="14"/>
      <c r="H363" s="14"/>
      <c r="I363" s="14"/>
      <c r="J363" s="14"/>
      <c r="K363" s="25"/>
      <c r="L363" s="34"/>
      <c r="M363" s="34"/>
      <c r="N363" s="9"/>
      <c r="O363" s="9"/>
      <c r="P363" s="9"/>
      <c r="Q363" s="9"/>
      <c r="R363" s="9"/>
      <c r="S363" s="26"/>
      <c r="T363" s="14"/>
      <c r="U363" s="14"/>
      <c r="V363" s="14"/>
      <c r="W363" s="14"/>
      <c r="X363" s="14"/>
      <c r="Y363" s="14"/>
      <c r="Z363" s="25"/>
      <c r="AA363" s="34"/>
      <c r="AB363" s="37"/>
      <c r="AC363" s="36" t="str">
        <f t="shared" si="5"/>
        <v/>
      </c>
      <c r="AD363" s="9"/>
      <c r="AE363" s="9"/>
      <c r="AF363" s="9"/>
      <c r="AG363" s="9"/>
      <c r="AH363" s="9"/>
      <c r="AI363" s="26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  <c r="BH363" s="14"/>
      <c r="BI363" s="14"/>
      <c r="BJ363" s="14"/>
      <c r="BK363" s="14"/>
      <c r="BL363" s="14"/>
      <c r="BM363" s="14"/>
      <c r="BN363" s="14"/>
      <c r="BO363" s="14"/>
      <c r="BP363" s="14"/>
      <c r="BQ363" s="14"/>
      <c r="BR363" s="14"/>
      <c r="BS363" s="14"/>
      <c r="BT363" s="14"/>
      <c r="BU363" s="14"/>
      <c r="BV363" s="14"/>
      <c r="BW363" s="14"/>
      <c r="BX363" s="14"/>
      <c r="BY363" s="14"/>
      <c r="BZ363" s="14"/>
      <c r="CA363" s="14"/>
      <c r="CB363" s="14"/>
      <c r="CC363" s="14"/>
      <c r="CD363" s="14"/>
      <c r="CE363" s="14"/>
      <c r="CF363" s="14"/>
      <c r="CG363" s="14"/>
      <c r="CH363" s="14"/>
      <c r="CI363" s="14"/>
      <c r="CJ363" s="14"/>
      <c r="CK363" s="14"/>
      <c r="CL363" s="14"/>
      <c r="CM363" s="14"/>
      <c r="CN363" s="14"/>
      <c r="CO363" s="14"/>
      <c r="CP363" s="14"/>
      <c r="CQ363" s="14"/>
      <c r="CR363" s="14"/>
      <c r="CS363" s="14"/>
      <c r="CT363" s="14"/>
      <c r="CU363" s="14"/>
      <c r="CV363" s="14"/>
      <c r="CW363" s="14"/>
      <c r="CX363" s="14"/>
      <c r="CY363" s="14"/>
      <c r="CZ363" s="14"/>
      <c r="DA363" s="14"/>
      <c r="DB363" s="14"/>
      <c r="DC363" s="14"/>
      <c r="DD363" s="14"/>
      <c r="DE363" s="14"/>
      <c r="DF363" s="14"/>
      <c r="DG363" s="14"/>
      <c r="DH363" s="14"/>
      <c r="DI363" s="14"/>
      <c r="DJ363" s="14"/>
    </row>
    <row r="364" spans="4:114" x14ac:dyDescent="0.25">
      <c r="D364" s="14"/>
      <c r="E364" s="15"/>
      <c r="F364" s="14"/>
      <c r="G364" s="14"/>
      <c r="H364" s="14"/>
      <c r="I364" s="14"/>
      <c r="J364" s="14"/>
      <c r="K364" s="25"/>
      <c r="L364" s="34"/>
      <c r="M364" s="34"/>
      <c r="N364" s="9"/>
      <c r="O364" s="9"/>
      <c r="P364" s="9"/>
      <c r="Q364" s="9"/>
      <c r="R364" s="9"/>
      <c r="S364" s="26"/>
      <c r="T364" s="14"/>
      <c r="U364" s="14"/>
      <c r="V364" s="14"/>
      <c r="W364" s="14"/>
      <c r="X364" s="14"/>
      <c r="Y364" s="14"/>
      <c r="Z364" s="25"/>
      <c r="AA364" s="34"/>
      <c r="AB364" s="37"/>
      <c r="AC364" s="36" t="str">
        <f t="shared" si="5"/>
        <v/>
      </c>
      <c r="AD364" s="9"/>
      <c r="AE364" s="9"/>
      <c r="AF364" s="9"/>
      <c r="AG364" s="9"/>
      <c r="AH364" s="9"/>
      <c r="AI364" s="26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  <c r="BH364" s="14"/>
      <c r="BI364" s="14"/>
      <c r="BJ364" s="14"/>
      <c r="BK364" s="14"/>
      <c r="BL364" s="14"/>
      <c r="BM364" s="14"/>
      <c r="BN364" s="14"/>
      <c r="BO364" s="14"/>
      <c r="BP364" s="14"/>
      <c r="BQ364" s="14"/>
      <c r="BR364" s="14"/>
      <c r="BS364" s="14"/>
      <c r="BT364" s="14"/>
      <c r="BU364" s="14"/>
      <c r="BV364" s="14"/>
      <c r="BW364" s="14"/>
      <c r="BX364" s="14"/>
      <c r="BY364" s="14"/>
      <c r="BZ364" s="14"/>
      <c r="CA364" s="14"/>
      <c r="CB364" s="14"/>
      <c r="CC364" s="14"/>
      <c r="CD364" s="14"/>
      <c r="CE364" s="14"/>
      <c r="CF364" s="14"/>
      <c r="CG364" s="14"/>
      <c r="CH364" s="14"/>
      <c r="CI364" s="14"/>
      <c r="CJ364" s="14"/>
      <c r="CK364" s="14"/>
      <c r="CL364" s="14"/>
      <c r="CM364" s="14"/>
      <c r="CN364" s="14"/>
      <c r="CO364" s="14"/>
      <c r="CP364" s="14"/>
      <c r="CQ364" s="14"/>
      <c r="CR364" s="14"/>
      <c r="CS364" s="14"/>
      <c r="CT364" s="14"/>
      <c r="CU364" s="14"/>
      <c r="CV364" s="14"/>
      <c r="CW364" s="14"/>
      <c r="CX364" s="14"/>
      <c r="CY364" s="14"/>
      <c r="CZ364" s="14"/>
      <c r="DA364" s="14"/>
      <c r="DB364" s="14"/>
      <c r="DC364" s="14"/>
      <c r="DD364" s="14"/>
      <c r="DE364" s="14"/>
      <c r="DF364" s="14"/>
      <c r="DG364" s="14"/>
      <c r="DH364" s="14"/>
      <c r="DI364" s="14"/>
      <c r="DJ364" s="14"/>
    </row>
    <row r="365" spans="4:114" x14ac:dyDescent="0.25">
      <c r="D365" s="14"/>
      <c r="E365" s="15"/>
      <c r="F365" s="14"/>
      <c r="G365" s="14"/>
      <c r="H365" s="14"/>
      <c r="I365" s="14"/>
      <c r="J365" s="14"/>
      <c r="K365" s="25"/>
      <c r="L365" s="34"/>
      <c r="M365" s="34"/>
      <c r="N365" s="9"/>
      <c r="O365" s="9"/>
      <c r="P365" s="9"/>
      <c r="Q365" s="9"/>
      <c r="R365" s="9"/>
      <c r="S365" s="26"/>
      <c r="T365" s="14"/>
      <c r="U365" s="14"/>
      <c r="V365" s="14"/>
      <c r="W365" s="14"/>
      <c r="X365" s="14"/>
      <c r="Y365" s="14"/>
      <c r="Z365" s="25"/>
      <c r="AA365" s="34"/>
      <c r="AB365" s="37"/>
      <c r="AC365" s="36" t="str">
        <f t="shared" si="5"/>
        <v/>
      </c>
      <c r="AD365" s="9"/>
      <c r="AE365" s="9"/>
      <c r="AF365" s="9"/>
      <c r="AG365" s="9"/>
      <c r="AH365" s="9"/>
      <c r="AI365" s="26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  <c r="BH365" s="14"/>
      <c r="BI365" s="14"/>
      <c r="BJ365" s="14"/>
      <c r="BK365" s="14"/>
      <c r="BL365" s="14"/>
      <c r="BM365" s="14"/>
      <c r="BN365" s="14"/>
      <c r="BO365" s="14"/>
      <c r="BP365" s="14"/>
      <c r="BQ365" s="14"/>
      <c r="BR365" s="14"/>
      <c r="BS365" s="14"/>
      <c r="BT365" s="14"/>
      <c r="BU365" s="14"/>
      <c r="BV365" s="14"/>
      <c r="BW365" s="14"/>
      <c r="BX365" s="14"/>
      <c r="BY365" s="14"/>
      <c r="BZ365" s="14"/>
      <c r="CA365" s="14"/>
      <c r="CB365" s="14"/>
      <c r="CC365" s="14"/>
      <c r="CD365" s="14"/>
      <c r="CE365" s="14"/>
      <c r="CF365" s="14"/>
      <c r="CG365" s="14"/>
      <c r="CH365" s="14"/>
      <c r="CI365" s="14"/>
      <c r="CJ365" s="14"/>
      <c r="CK365" s="14"/>
      <c r="CL365" s="14"/>
      <c r="CM365" s="14"/>
      <c r="CN365" s="14"/>
      <c r="CO365" s="14"/>
      <c r="CP365" s="14"/>
      <c r="CQ365" s="14"/>
      <c r="CR365" s="14"/>
      <c r="CS365" s="14"/>
      <c r="CT365" s="14"/>
      <c r="CU365" s="14"/>
      <c r="CV365" s="14"/>
      <c r="CW365" s="14"/>
      <c r="CX365" s="14"/>
      <c r="CY365" s="14"/>
      <c r="CZ365" s="14"/>
      <c r="DA365" s="14"/>
      <c r="DB365" s="14"/>
      <c r="DC365" s="14"/>
      <c r="DD365" s="14"/>
      <c r="DE365" s="14"/>
      <c r="DF365" s="14"/>
      <c r="DG365" s="14"/>
      <c r="DH365" s="14"/>
      <c r="DI365" s="14"/>
      <c r="DJ365" s="14"/>
    </row>
    <row r="366" spans="4:114" x14ac:dyDescent="0.25">
      <c r="D366" s="14"/>
      <c r="E366" s="15"/>
      <c r="F366" s="14"/>
      <c r="G366" s="14"/>
      <c r="H366" s="14"/>
      <c r="I366" s="14"/>
      <c r="J366" s="14"/>
      <c r="K366" s="25"/>
      <c r="L366" s="34"/>
      <c r="M366" s="34"/>
      <c r="N366" s="9"/>
      <c r="O366" s="9"/>
      <c r="P366" s="9"/>
      <c r="Q366" s="9"/>
      <c r="R366" s="9"/>
      <c r="S366" s="26"/>
      <c r="T366" s="14"/>
      <c r="U366" s="14"/>
      <c r="V366" s="14"/>
      <c r="W366" s="14"/>
      <c r="X366" s="14"/>
      <c r="Y366" s="14"/>
      <c r="Z366" s="25"/>
      <c r="AA366" s="34"/>
      <c r="AB366" s="37"/>
      <c r="AC366" s="36" t="str">
        <f t="shared" si="5"/>
        <v/>
      </c>
      <c r="AD366" s="9"/>
      <c r="AE366" s="9"/>
      <c r="AF366" s="9"/>
      <c r="AG366" s="9"/>
      <c r="AH366" s="9"/>
      <c r="AI366" s="26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  <c r="BH366" s="14"/>
      <c r="BI366" s="14"/>
      <c r="BJ366" s="14"/>
      <c r="BK366" s="14"/>
      <c r="BL366" s="14"/>
      <c r="BM366" s="14"/>
      <c r="BN366" s="14"/>
      <c r="BO366" s="14"/>
      <c r="BP366" s="14"/>
      <c r="BQ366" s="14"/>
      <c r="BR366" s="14"/>
      <c r="BS366" s="14"/>
      <c r="BT366" s="14"/>
      <c r="BU366" s="14"/>
      <c r="BV366" s="14"/>
      <c r="BW366" s="14"/>
      <c r="BX366" s="14"/>
      <c r="BY366" s="14"/>
      <c r="BZ366" s="14"/>
      <c r="CA366" s="14"/>
      <c r="CB366" s="14"/>
      <c r="CC366" s="14"/>
      <c r="CD366" s="14"/>
      <c r="CE366" s="14"/>
      <c r="CF366" s="14"/>
      <c r="CG366" s="14"/>
      <c r="CH366" s="14"/>
      <c r="CI366" s="14"/>
      <c r="CJ366" s="14"/>
      <c r="CK366" s="14"/>
      <c r="CL366" s="14"/>
      <c r="CM366" s="14"/>
      <c r="CN366" s="14"/>
      <c r="CO366" s="14"/>
      <c r="CP366" s="14"/>
      <c r="CQ366" s="14"/>
      <c r="CR366" s="14"/>
      <c r="CS366" s="14"/>
      <c r="CT366" s="14"/>
      <c r="CU366" s="14"/>
      <c r="CV366" s="14"/>
      <c r="CW366" s="14"/>
      <c r="CX366" s="14"/>
      <c r="CY366" s="14"/>
      <c r="CZ366" s="14"/>
      <c r="DA366" s="14"/>
      <c r="DB366" s="14"/>
      <c r="DC366" s="14"/>
      <c r="DD366" s="14"/>
      <c r="DE366" s="14"/>
      <c r="DF366" s="14"/>
      <c r="DG366" s="14"/>
      <c r="DH366" s="14"/>
      <c r="DI366" s="14"/>
      <c r="DJ366" s="14"/>
    </row>
    <row r="367" spans="4:114" x14ac:dyDescent="0.25">
      <c r="D367" s="14"/>
      <c r="E367" s="15"/>
      <c r="F367" s="14"/>
      <c r="G367" s="14"/>
      <c r="H367" s="14"/>
      <c r="I367" s="14"/>
      <c r="J367" s="14"/>
      <c r="K367" s="25"/>
      <c r="L367" s="34"/>
      <c r="M367" s="34"/>
      <c r="N367" s="9"/>
      <c r="O367" s="9"/>
      <c r="P367" s="9"/>
      <c r="Q367" s="9"/>
      <c r="R367" s="9"/>
      <c r="S367" s="26"/>
      <c r="T367" s="14"/>
      <c r="U367" s="14"/>
      <c r="V367" s="14"/>
      <c r="W367" s="14"/>
      <c r="X367" s="14"/>
      <c r="Y367" s="14"/>
      <c r="Z367" s="25"/>
      <c r="AA367" s="34"/>
      <c r="AB367" s="37"/>
      <c r="AC367" s="36" t="str">
        <f t="shared" si="5"/>
        <v/>
      </c>
      <c r="AD367" s="9"/>
      <c r="AE367" s="9"/>
      <c r="AF367" s="9"/>
      <c r="AG367" s="9"/>
      <c r="AH367" s="9"/>
      <c r="AI367" s="26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  <c r="BH367" s="14"/>
      <c r="BI367" s="14"/>
      <c r="BJ367" s="14"/>
      <c r="BK367" s="14"/>
      <c r="BL367" s="14"/>
      <c r="BM367" s="14"/>
      <c r="BN367" s="14"/>
      <c r="BO367" s="14"/>
      <c r="BP367" s="14"/>
      <c r="BQ367" s="14"/>
      <c r="BR367" s="14"/>
      <c r="BS367" s="14"/>
      <c r="BT367" s="14"/>
      <c r="BU367" s="14"/>
      <c r="BV367" s="14"/>
      <c r="BW367" s="14"/>
      <c r="BX367" s="14"/>
      <c r="BY367" s="14"/>
      <c r="BZ367" s="14"/>
      <c r="CA367" s="14"/>
      <c r="CB367" s="14"/>
      <c r="CC367" s="14"/>
      <c r="CD367" s="14"/>
      <c r="CE367" s="14"/>
      <c r="CF367" s="14"/>
      <c r="CG367" s="14"/>
      <c r="CH367" s="14"/>
      <c r="CI367" s="14"/>
      <c r="CJ367" s="14"/>
      <c r="CK367" s="14"/>
      <c r="CL367" s="14"/>
      <c r="CM367" s="14"/>
      <c r="CN367" s="14"/>
      <c r="CO367" s="14"/>
      <c r="CP367" s="14"/>
      <c r="CQ367" s="14"/>
      <c r="CR367" s="14"/>
      <c r="CS367" s="14"/>
      <c r="CT367" s="14"/>
      <c r="CU367" s="14"/>
      <c r="CV367" s="14"/>
      <c r="CW367" s="14"/>
      <c r="CX367" s="14"/>
      <c r="CY367" s="14"/>
      <c r="CZ367" s="14"/>
      <c r="DA367" s="14"/>
      <c r="DB367" s="14"/>
      <c r="DC367" s="14"/>
      <c r="DD367" s="14"/>
      <c r="DE367" s="14"/>
      <c r="DF367" s="14"/>
      <c r="DG367" s="14"/>
      <c r="DH367" s="14"/>
      <c r="DI367" s="14"/>
      <c r="DJ367" s="14"/>
    </row>
    <row r="368" spans="4:114" x14ac:dyDescent="0.25">
      <c r="D368" s="14"/>
      <c r="E368" s="15"/>
      <c r="F368" s="14"/>
      <c r="G368" s="14"/>
      <c r="H368" s="14"/>
      <c r="I368" s="14"/>
      <c r="J368" s="14"/>
      <c r="K368" s="25"/>
      <c r="L368" s="34"/>
      <c r="M368" s="34"/>
      <c r="N368" s="9"/>
      <c r="O368" s="9"/>
      <c r="P368" s="9"/>
      <c r="Q368" s="9"/>
      <c r="R368" s="9"/>
      <c r="S368" s="26"/>
      <c r="T368" s="14"/>
      <c r="U368" s="14"/>
      <c r="V368" s="14"/>
      <c r="W368" s="14"/>
      <c r="X368" s="14"/>
      <c r="Y368" s="14"/>
      <c r="Z368" s="25"/>
      <c r="AA368" s="34"/>
      <c r="AB368" s="37"/>
      <c r="AC368" s="36" t="str">
        <f t="shared" si="5"/>
        <v/>
      </c>
      <c r="AD368" s="9"/>
      <c r="AE368" s="9"/>
      <c r="AF368" s="9"/>
      <c r="AG368" s="9"/>
      <c r="AH368" s="9"/>
      <c r="AI368" s="26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  <c r="BH368" s="14"/>
      <c r="BI368" s="14"/>
      <c r="BJ368" s="14"/>
      <c r="BK368" s="14"/>
      <c r="BL368" s="14"/>
      <c r="BM368" s="14"/>
      <c r="BN368" s="14"/>
      <c r="BO368" s="14"/>
      <c r="BP368" s="14"/>
      <c r="BQ368" s="14"/>
      <c r="BR368" s="14"/>
      <c r="BS368" s="14"/>
      <c r="BT368" s="14"/>
      <c r="BU368" s="14"/>
      <c r="BV368" s="14"/>
      <c r="BW368" s="14"/>
      <c r="BX368" s="14"/>
      <c r="BY368" s="14"/>
      <c r="BZ368" s="14"/>
      <c r="CA368" s="14"/>
      <c r="CB368" s="14"/>
      <c r="CC368" s="14"/>
      <c r="CD368" s="14"/>
      <c r="CE368" s="14"/>
      <c r="CF368" s="14"/>
      <c r="CG368" s="14"/>
      <c r="CH368" s="14"/>
      <c r="CI368" s="14"/>
      <c r="CJ368" s="14"/>
      <c r="CK368" s="14"/>
      <c r="CL368" s="14"/>
      <c r="CM368" s="14"/>
      <c r="CN368" s="14"/>
      <c r="CO368" s="14"/>
      <c r="CP368" s="14"/>
      <c r="CQ368" s="14"/>
      <c r="CR368" s="14"/>
      <c r="CS368" s="14"/>
      <c r="CT368" s="14"/>
      <c r="CU368" s="14"/>
      <c r="CV368" s="14"/>
      <c r="CW368" s="14"/>
      <c r="CX368" s="14"/>
      <c r="CY368" s="14"/>
      <c r="CZ368" s="14"/>
      <c r="DA368" s="14"/>
      <c r="DB368" s="14"/>
      <c r="DC368" s="14"/>
      <c r="DD368" s="14"/>
      <c r="DE368" s="14"/>
      <c r="DF368" s="14"/>
      <c r="DG368" s="14"/>
      <c r="DH368" s="14"/>
      <c r="DI368" s="14"/>
      <c r="DJ368" s="14"/>
    </row>
    <row r="369" spans="4:114" x14ac:dyDescent="0.25">
      <c r="D369" s="14"/>
      <c r="E369" s="15"/>
      <c r="F369" s="14"/>
      <c r="G369" s="14"/>
      <c r="H369" s="14"/>
      <c r="I369" s="14"/>
      <c r="J369" s="14"/>
      <c r="K369" s="25"/>
      <c r="L369" s="34"/>
      <c r="M369" s="34"/>
      <c r="N369" s="9"/>
      <c r="O369" s="9"/>
      <c r="P369" s="9"/>
      <c r="Q369" s="9"/>
      <c r="R369" s="9"/>
      <c r="S369" s="26"/>
      <c r="T369" s="14"/>
      <c r="U369" s="14"/>
      <c r="V369" s="14"/>
      <c r="W369" s="14"/>
      <c r="X369" s="14"/>
      <c r="Y369" s="14"/>
      <c r="Z369" s="25"/>
      <c r="AA369" s="34"/>
      <c r="AB369" s="37"/>
      <c r="AC369" s="36" t="str">
        <f t="shared" si="5"/>
        <v/>
      </c>
      <c r="AD369" s="9"/>
      <c r="AE369" s="9"/>
      <c r="AF369" s="9"/>
      <c r="AG369" s="9"/>
      <c r="AH369" s="9"/>
      <c r="AI369" s="26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  <c r="BH369" s="14"/>
      <c r="BI369" s="14"/>
      <c r="BJ369" s="14"/>
      <c r="BK369" s="14"/>
      <c r="BL369" s="14"/>
      <c r="BM369" s="14"/>
      <c r="BN369" s="14"/>
      <c r="BO369" s="14"/>
      <c r="BP369" s="14"/>
      <c r="BQ369" s="14"/>
      <c r="BR369" s="14"/>
      <c r="BS369" s="14"/>
      <c r="BT369" s="14"/>
      <c r="BU369" s="14"/>
      <c r="BV369" s="14"/>
      <c r="BW369" s="14"/>
      <c r="BX369" s="14"/>
      <c r="BY369" s="14"/>
      <c r="BZ369" s="14"/>
      <c r="CA369" s="14"/>
      <c r="CB369" s="14"/>
      <c r="CC369" s="14"/>
      <c r="CD369" s="14"/>
      <c r="CE369" s="14"/>
      <c r="CF369" s="14"/>
      <c r="CG369" s="14"/>
      <c r="CH369" s="14"/>
      <c r="CI369" s="14"/>
      <c r="CJ369" s="14"/>
      <c r="CK369" s="14"/>
      <c r="CL369" s="14"/>
      <c r="CM369" s="14"/>
      <c r="CN369" s="14"/>
      <c r="CO369" s="14"/>
      <c r="CP369" s="14"/>
      <c r="CQ369" s="14"/>
      <c r="CR369" s="14"/>
      <c r="CS369" s="14"/>
      <c r="CT369" s="14"/>
      <c r="CU369" s="14"/>
      <c r="CV369" s="14"/>
      <c r="CW369" s="14"/>
      <c r="CX369" s="14"/>
      <c r="CY369" s="14"/>
      <c r="CZ369" s="14"/>
      <c r="DA369" s="14"/>
      <c r="DB369" s="14"/>
      <c r="DC369" s="14"/>
      <c r="DD369" s="14"/>
      <c r="DE369" s="14"/>
      <c r="DF369" s="14"/>
      <c r="DG369" s="14"/>
      <c r="DH369" s="14"/>
      <c r="DI369" s="14"/>
      <c r="DJ369" s="14"/>
    </row>
    <row r="370" spans="4:114" x14ac:dyDescent="0.25">
      <c r="D370" s="14"/>
      <c r="E370" s="15"/>
      <c r="F370" s="14"/>
      <c r="G370" s="14"/>
      <c r="H370" s="14"/>
      <c r="I370" s="14"/>
      <c r="J370" s="14"/>
      <c r="K370" s="25"/>
      <c r="L370" s="34"/>
      <c r="M370" s="34"/>
      <c r="N370" s="9"/>
      <c r="O370" s="9"/>
      <c r="P370" s="9"/>
      <c r="Q370" s="9"/>
      <c r="R370" s="9"/>
      <c r="S370" s="26"/>
      <c r="T370" s="14"/>
      <c r="U370" s="14"/>
      <c r="V370" s="14"/>
      <c r="W370" s="14"/>
      <c r="X370" s="14"/>
      <c r="Y370" s="14"/>
      <c r="Z370" s="25"/>
      <c r="AA370" s="34"/>
      <c r="AB370" s="37"/>
      <c r="AC370" s="36" t="str">
        <f t="shared" si="5"/>
        <v/>
      </c>
      <c r="AD370" s="9"/>
      <c r="AE370" s="9"/>
      <c r="AF370" s="9"/>
      <c r="AG370" s="9"/>
      <c r="AH370" s="9"/>
      <c r="AI370" s="26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  <c r="BH370" s="14"/>
      <c r="BI370" s="14"/>
      <c r="BJ370" s="14"/>
      <c r="BK370" s="14"/>
      <c r="BL370" s="14"/>
      <c r="BM370" s="14"/>
      <c r="BN370" s="14"/>
      <c r="BO370" s="14"/>
      <c r="BP370" s="14"/>
      <c r="BQ370" s="14"/>
      <c r="BR370" s="14"/>
      <c r="BS370" s="14"/>
      <c r="BT370" s="14"/>
      <c r="BU370" s="14"/>
      <c r="BV370" s="14"/>
      <c r="BW370" s="14"/>
      <c r="BX370" s="14"/>
      <c r="BY370" s="14"/>
      <c r="BZ370" s="14"/>
      <c r="CA370" s="14"/>
      <c r="CB370" s="14"/>
      <c r="CC370" s="14"/>
      <c r="CD370" s="14"/>
      <c r="CE370" s="14"/>
      <c r="CF370" s="14"/>
      <c r="CG370" s="14"/>
      <c r="CH370" s="14"/>
      <c r="CI370" s="14"/>
      <c r="CJ370" s="14"/>
      <c r="CK370" s="14"/>
      <c r="CL370" s="14"/>
      <c r="CM370" s="14"/>
      <c r="CN370" s="14"/>
      <c r="CO370" s="14"/>
      <c r="CP370" s="14"/>
      <c r="CQ370" s="14"/>
      <c r="CR370" s="14"/>
      <c r="CS370" s="14"/>
      <c r="CT370" s="14"/>
      <c r="CU370" s="14"/>
      <c r="CV370" s="14"/>
      <c r="CW370" s="14"/>
      <c r="CX370" s="14"/>
      <c r="CY370" s="14"/>
      <c r="CZ370" s="14"/>
      <c r="DA370" s="14"/>
      <c r="DB370" s="14"/>
      <c r="DC370" s="14"/>
      <c r="DD370" s="14"/>
      <c r="DE370" s="14"/>
      <c r="DF370" s="14"/>
      <c r="DG370" s="14"/>
      <c r="DH370" s="14"/>
      <c r="DI370" s="14"/>
      <c r="DJ370" s="14"/>
    </row>
    <row r="371" spans="4:114" x14ac:dyDescent="0.25">
      <c r="D371" s="14"/>
      <c r="E371" s="15"/>
      <c r="F371" s="14"/>
      <c r="G371" s="14"/>
      <c r="H371" s="14"/>
      <c r="I371" s="14"/>
      <c r="J371" s="14"/>
      <c r="K371" s="25"/>
      <c r="L371" s="34"/>
      <c r="M371" s="34"/>
      <c r="N371" s="9"/>
      <c r="O371" s="9"/>
      <c r="P371" s="9"/>
      <c r="Q371" s="9"/>
      <c r="R371" s="9"/>
      <c r="S371" s="26"/>
      <c r="T371" s="14"/>
      <c r="U371" s="14"/>
      <c r="V371" s="14"/>
      <c r="W371" s="14"/>
      <c r="X371" s="14"/>
      <c r="Y371" s="14"/>
      <c r="Z371" s="25"/>
      <c r="AA371" s="34"/>
      <c r="AB371" s="37"/>
      <c r="AC371" s="36" t="str">
        <f t="shared" si="5"/>
        <v/>
      </c>
      <c r="AD371" s="9"/>
      <c r="AE371" s="9"/>
      <c r="AF371" s="9"/>
      <c r="AG371" s="9"/>
      <c r="AH371" s="9"/>
      <c r="AI371" s="26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  <c r="BH371" s="14"/>
      <c r="BI371" s="14"/>
      <c r="BJ371" s="14"/>
      <c r="BK371" s="14"/>
      <c r="BL371" s="14"/>
      <c r="BM371" s="14"/>
      <c r="BN371" s="14"/>
      <c r="BO371" s="14"/>
      <c r="BP371" s="14"/>
      <c r="BQ371" s="14"/>
      <c r="BR371" s="14"/>
      <c r="BS371" s="14"/>
      <c r="BT371" s="14"/>
      <c r="BU371" s="14"/>
      <c r="BV371" s="14"/>
      <c r="BW371" s="14"/>
      <c r="BX371" s="14"/>
      <c r="BY371" s="14"/>
      <c r="BZ371" s="14"/>
      <c r="CA371" s="14"/>
      <c r="CB371" s="14"/>
      <c r="CC371" s="14"/>
      <c r="CD371" s="14"/>
      <c r="CE371" s="14"/>
      <c r="CF371" s="14"/>
      <c r="CG371" s="14"/>
      <c r="CH371" s="14"/>
      <c r="CI371" s="14"/>
      <c r="CJ371" s="14"/>
      <c r="CK371" s="14"/>
      <c r="CL371" s="14"/>
      <c r="CM371" s="14"/>
      <c r="CN371" s="14"/>
      <c r="CO371" s="14"/>
      <c r="CP371" s="14"/>
      <c r="CQ371" s="14"/>
      <c r="CR371" s="14"/>
      <c r="CS371" s="14"/>
      <c r="CT371" s="14"/>
      <c r="CU371" s="14"/>
      <c r="CV371" s="14"/>
      <c r="CW371" s="14"/>
      <c r="CX371" s="14"/>
      <c r="CY371" s="14"/>
      <c r="CZ371" s="14"/>
      <c r="DA371" s="14"/>
      <c r="DB371" s="14"/>
      <c r="DC371" s="14"/>
      <c r="DD371" s="14"/>
      <c r="DE371" s="14"/>
      <c r="DF371" s="14"/>
      <c r="DG371" s="14"/>
      <c r="DH371" s="14"/>
      <c r="DI371" s="14"/>
      <c r="DJ371" s="14"/>
    </row>
    <row r="372" spans="4:114" x14ac:dyDescent="0.25">
      <c r="D372" s="14"/>
      <c r="E372" s="15"/>
      <c r="F372" s="14"/>
      <c r="G372" s="14"/>
      <c r="H372" s="14"/>
      <c r="I372" s="14"/>
      <c r="J372" s="14"/>
      <c r="K372" s="25"/>
      <c r="L372" s="34"/>
      <c r="M372" s="34"/>
      <c r="N372" s="9"/>
      <c r="O372" s="9"/>
      <c r="P372" s="9"/>
      <c r="Q372" s="9"/>
      <c r="R372" s="9"/>
      <c r="S372" s="26"/>
      <c r="T372" s="14"/>
      <c r="U372" s="14"/>
      <c r="V372" s="14"/>
      <c r="W372" s="14"/>
      <c r="X372" s="14"/>
      <c r="Y372" s="14"/>
      <c r="Z372" s="25"/>
      <c r="AA372" s="34"/>
      <c r="AB372" s="37"/>
      <c r="AC372" s="36" t="str">
        <f t="shared" si="5"/>
        <v/>
      </c>
      <c r="AD372" s="9"/>
      <c r="AE372" s="9"/>
      <c r="AF372" s="9"/>
      <c r="AG372" s="9"/>
      <c r="AH372" s="9"/>
      <c r="AI372" s="26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  <c r="BH372" s="14"/>
      <c r="BI372" s="14"/>
      <c r="BJ372" s="14"/>
      <c r="BK372" s="14"/>
      <c r="BL372" s="14"/>
      <c r="BM372" s="14"/>
      <c r="BN372" s="14"/>
      <c r="BO372" s="14"/>
      <c r="BP372" s="14"/>
      <c r="BQ372" s="14"/>
      <c r="BR372" s="14"/>
      <c r="BS372" s="14"/>
      <c r="BT372" s="14"/>
      <c r="BU372" s="14"/>
      <c r="BV372" s="14"/>
      <c r="BW372" s="14"/>
      <c r="BX372" s="14"/>
      <c r="BY372" s="14"/>
      <c r="BZ372" s="14"/>
      <c r="CA372" s="14"/>
      <c r="CB372" s="14"/>
      <c r="CC372" s="14"/>
      <c r="CD372" s="14"/>
      <c r="CE372" s="14"/>
      <c r="CF372" s="14"/>
      <c r="CG372" s="14"/>
      <c r="CH372" s="14"/>
      <c r="CI372" s="14"/>
      <c r="CJ372" s="14"/>
      <c r="CK372" s="14"/>
      <c r="CL372" s="14"/>
      <c r="CM372" s="14"/>
      <c r="CN372" s="14"/>
      <c r="CO372" s="14"/>
      <c r="CP372" s="14"/>
      <c r="CQ372" s="14"/>
      <c r="CR372" s="14"/>
      <c r="CS372" s="14"/>
      <c r="CT372" s="14"/>
      <c r="CU372" s="14"/>
      <c r="CV372" s="14"/>
      <c r="CW372" s="14"/>
      <c r="CX372" s="14"/>
      <c r="CY372" s="14"/>
      <c r="CZ372" s="14"/>
      <c r="DA372" s="14"/>
      <c r="DB372" s="14"/>
      <c r="DC372" s="14"/>
      <c r="DD372" s="14"/>
      <c r="DE372" s="14"/>
      <c r="DF372" s="14"/>
      <c r="DG372" s="14"/>
      <c r="DH372" s="14"/>
      <c r="DI372" s="14"/>
      <c r="DJ372" s="14"/>
    </row>
    <row r="373" spans="4:114" x14ac:dyDescent="0.25">
      <c r="D373" s="14"/>
      <c r="E373" s="15"/>
      <c r="F373" s="14"/>
      <c r="G373" s="14"/>
      <c r="H373" s="14"/>
      <c r="I373" s="14"/>
      <c r="J373" s="14"/>
      <c r="K373" s="25"/>
      <c r="L373" s="34"/>
      <c r="M373" s="34"/>
      <c r="N373" s="9"/>
      <c r="O373" s="9"/>
      <c r="P373" s="9"/>
      <c r="Q373" s="9"/>
      <c r="R373" s="9"/>
      <c r="S373" s="26"/>
      <c r="T373" s="14"/>
      <c r="U373" s="14"/>
      <c r="V373" s="14"/>
      <c r="W373" s="14"/>
      <c r="X373" s="14"/>
      <c r="Y373" s="14"/>
      <c r="Z373" s="25"/>
      <c r="AA373" s="34"/>
      <c r="AB373" s="37"/>
      <c r="AC373" s="36" t="str">
        <f t="shared" si="5"/>
        <v/>
      </c>
      <c r="AD373" s="9"/>
      <c r="AE373" s="9"/>
      <c r="AF373" s="9"/>
      <c r="AG373" s="9"/>
      <c r="AH373" s="9"/>
      <c r="AI373" s="26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  <c r="BH373" s="14"/>
      <c r="BI373" s="14"/>
      <c r="BJ373" s="14"/>
      <c r="BK373" s="14"/>
      <c r="BL373" s="14"/>
      <c r="BM373" s="14"/>
      <c r="BN373" s="14"/>
      <c r="BO373" s="14"/>
      <c r="BP373" s="14"/>
      <c r="BQ373" s="14"/>
      <c r="BR373" s="14"/>
      <c r="BS373" s="14"/>
      <c r="BT373" s="14"/>
      <c r="BU373" s="14"/>
      <c r="BV373" s="14"/>
      <c r="BW373" s="14"/>
      <c r="BX373" s="14"/>
      <c r="BY373" s="14"/>
      <c r="BZ373" s="14"/>
      <c r="CA373" s="14"/>
      <c r="CB373" s="14"/>
      <c r="CC373" s="14"/>
      <c r="CD373" s="14"/>
      <c r="CE373" s="14"/>
      <c r="CF373" s="14"/>
      <c r="CG373" s="14"/>
      <c r="CH373" s="14"/>
      <c r="CI373" s="14"/>
      <c r="CJ373" s="14"/>
      <c r="CK373" s="14"/>
      <c r="CL373" s="14"/>
      <c r="CM373" s="14"/>
      <c r="CN373" s="14"/>
      <c r="CO373" s="14"/>
      <c r="CP373" s="14"/>
      <c r="CQ373" s="14"/>
      <c r="CR373" s="14"/>
      <c r="CS373" s="14"/>
      <c r="CT373" s="14"/>
      <c r="CU373" s="14"/>
      <c r="CV373" s="14"/>
      <c r="CW373" s="14"/>
      <c r="CX373" s="14"/>
      <c r="CY373" s="14"/>
      <c r="CZ373" s="14"/>
      <c r="DA373" s="14"/>
      <c r="DB373" s="14"/>
      <c r="DC373" s="14"/>
      <c r="DD373" s="14"/>
      <c r="DE373" s="14"/>
      <c r="DF373" s="14"/>
      <c r="DG373" s="14"/>
      <c r="DH373" s="14"/>
      <c r="DI373" s="14"/>
      <c r="DJ373" s="14"/>
    </row>
    <row r="374" spans="4:114" x14ac:dyDescent="0.25">
      <c r="D374" s="14"/>
      <c r="E374" s="15"/>
      <c r="F374" s="14"/>
      <c r="G374" s="14"/>
      <c r="H374" s="14"/>
      <c r="I374" s="14"/>
      <c r="J374" s="14"/>
      <c r="K374" s="25"/>
      <c r="L374" s="34"/>
      <c r="M374" s="34"/>
      <c r="N374" s="9"/>
      <c r="O374" s="9"/>
      <c r="P374" s="9"/>
      <c r="Q374" s="9"/>
      <c r="R374" s="9"/>
      <c r="S374" s="26"/>
      <c r="T374" s="14"/>
      <c r="U374" s="14"/>
      <c r="V374" s="14"/>
      <c r="W374" s="14"/>
      <c r="X374" s="14"/>
      <c r="Y374" s="14"/>
      <c r="Z374" s="25"/>
      <c r="AA374" s="34"/>
      <c r="AB374" s="37"/>
      <c r="AC374" s="36" t="str">
        <f t="shared" si="5"/>
        <v/>
      </c>
      <c r="AD374" s="9"/>
      <c r="AE374" s="9"/>
      <c r="AF374" s="9"/>
      <c r="AG374" s="9"/>
      <c r="AH374" s="9"/>
      <c r="AI374" s="26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  <c r="BH374" s="14"/>
      <c r="BI374" s="14"/>
      <c r="BJ374" s="14"/>
      <c r="BK374" s="14"/>
      <c r="BL374" s="14"/>
      <c r="BM374" s="14"/>
      <c r="BN374" s="14"/>
      <c r="BO374" s="14"/>
      <c r="BP374" s="14"/>
      <c r="BQ374" s="14"/>
      <c r="BR374" s="14"/>
      <c r="BS374" s="14"/>
      <c r="BT374" s="14"/>
      <c r="BU374" s="14"/>
      <c r="BV374" s="14"/>
      <c r="BW374" s="14"/>
      <c r="BX374" s="14"/>
      <c r="BY374" s="14"/>
      <c r="BZ374" s="14"/>
      <c r="CA374" s="14"/>
      <c r="CB374" s="14"/>
      <c r="CC374" s="14"/>
      <c r="CD374" s="14"/>
      <c r="CE374" s="14"/>
      <c r="CF374" s="14"/>
      <c r="CG374" s="14"/>
      <c r="CH374" s="14"/>
      <c r="CI374" s="14"/>
      <c r="CJ374" s="14"/>
      <c r="CK374" s="14"/>
      <c r="CL374" s="14"/>
      <c r="CM374" s="14"/>
      <c r="CN374" s="14"/>
      <c r="CO374" s="14"/>
      <c r="CP374" s="14"/>
      <c r="CQ374" s="14"/>
      <c r="CR374" s="14"/>
      <c r="CS374" s="14"/>
      <c r="CT374" s="14"/>
      <c r="CU374" s="14"/>
      <c r="CV374" s="14"/>
      <c r="CW374" s="14"/>
      <c r="CX374" s="14"/>
      <c r="CY374" s="14"/>
      <c r="CZ374" s="14"/>
      <c r="DA374" s="14"/>
      <c r="DB374" s="14"/>
      <c r="DC374" s="14"/>
      <c r="DD374" s="14"/>
      <c r="DE374" s="14"/>
      <c r="DF374" s="14"/>
      <c r="DG374" s="14"/>
      <c r="DH374" s="14"/>
      <c r="DI374" s="14"/>
      <c r="DJ374" s="14"/>
    </row>
    <row r="375" spans="4:114" x14ac:dyDescent="0.25">
      <c r="D375" s="14"/>
      <c r="E375" s="15"/>
      <c r="F375" s="14"/>
      <c r="G375" s="14"/>
      <c r="H375" s="14"/>
      <c r="I375" s="14"/>
      <c r="J375" s="14"/>
      <c r="K375" s="25"/>
      <c r="L375" s="34"/>
      <c r="M375" s="34"/>
      <c r="N375" s="9"/>
      <c r="O375" s="9"/>
      <c r="P375" s="9"/>
      <c r="Q375" s="9"/>
      <c r="R375" s="9"/>
      <c r="S375" s="26"/>
      <c r="T375" s="14"/>
      <c r="U375" s="14"/>
      <c r="V375" s="14"/>
      <c r="W375" s="14"/>
      <c r="X375" s="14"/>
      <c r="Y375" s="14"/>
      <c r="Z375" s="25"/>
      <c r="AA375" s="34"/>
      <c r="AB375" s="37"/>
      <c r="AC375" s="36" t="str">
        <f t="shared" si="5"/>
        <v/>
      </c>
      <c r="AD375" s="9"/>
      <c r="AE375" s="9"/>
      <c r="AF375" s="9"/>
      <c r="AG375" s="9"/>
      <c r="AH375" s="9"/>
      <c r="AI375" s="26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  <c r="BH375" s="14"/>
      <c r="BI375" s="14"/>
      <c r="BJ375" s="14"/>
      <c r="BK375" s="14"/>
      <c r="BL375" s="14"/>
      <c r="BM375" s="14"/>
      <c r="BN375" s="14"/>
      <c r="BO375" s="14"/>
      <c r="BP375" s="14"/>
      <c r="BQ375" s="14"/>
      <c r="BR375" s="14"/>
      <c r="BS375" s="14"/>
      <c r="BT375" s="14"/>
      <c r="BU375" s="14"/>
      <c r="BV375" s="14"/>
      <c r="BW375" s="14"/>
      <c r="BX375" s="14"/>
      <c r="BY375" s="14"/>
      <c r="BZ375" s="14"/>
      <c r="CA375" s="14"/>
      <c r="CB375" s="14"/>
      <c r="CC375" s="14"/>
      <c r="CD375" s="14"/>
      <c r="CE375" s="14"/>
      <c r="CF375" s="14"/>
      <c r="CG375" s="14"/>
      <c r="CH375" s="14"/>
      <c r="CI375" s="14"/>
      <c r="CJ375" s="14"/>
      <c r="CK375" s="14"/>
      <c r="CL375" s="14"/>
      <c r="CM375" s="14"/>
      <c r="CN375" s="14"/>
      <c r="CO375" s="14"/>
      <c r="CP375" s="14"/>
      <c r="CQ375" s="14"/>
      <c r="CR375" s="14"/>
      <c r="CS375" s="14"/>
      <c r="CT375" s="14"/>
      <c r="CU375" s="14"/>
      <c r="CV375" s="14"/>
      <c r="CW375" s="14"/>
      <c r="CX375" s="14"/>
      <c r="CY375" s="14"/>
      <c r="CZ375" s="14"/>
      <c r="DA375" s="14"/>
      <c r="DB375" s="14"/>
      <c r="DC375" s="14"/>
      <c r="DD375" s="14"/>
      <c r="DE375" s="14"/>
      <c r="DF375" s="14"/>
      <c r="DG375" s="14"/>
      <c r="DH375" s="14"/>
      <c r="DI375" s="14"/>
      <c r="DJ375" s="14"/>
    </row>
    <row r="376" spans="4:114" x14ac:dyDescent="0.25">
      <c r="D376" s="14"/>
      <c r="E376" s="15"/>
      <c r="F376" s="14"/>
      <c r="G376" s="14"/>
      <c r="H376" s="14"/>
      <c r="I376" s="14"/>
      <c r="J376" s="14"/>
      <c r="K376" s="25"/>
      <c r="L376" s="34"/>
      <c r="M376" s="34"/>
      <c r="N376" s="9"/>
      <c r="O376" s="9"/>
      <c r="P376" s="9"/>
      <c r="Q376" s="9"/>
      <c r="R376" s="9"/>
      <c r="S376" s="26"/>
      <c r="T376" s="14"/>
      <c r="U376" s="14"/>
      <c r="V376" s="14"/>
      <c r="W376" s="14"/>
      <c r="X376" s="14"/>
      <c r="Y376" s="14"/>
      <c r="Z376" s="25"/>
      <c r="AA376" s="34"/>
      <c r="AB376" s="37"/>
      <c r="AC376" s="36" t="str">
        <f t="shared" si="5"/>
        <v/>
      </c>
      <c r="AD376" s="9"/>
      <c r="AE376" s="9"/>
      <c r="AF376" s="9"/>
      <c r="AG376" s="9"/>
      <c r="AH376" s="9"/>
      <c r="AI376" s="26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  <c r="BH376" s="14"/>
      <c r="BI376" s="14"/>
      <c r="BJ376" s="14"/>
      <c r="BK376" s="14"/>
      <c r="BL376" s="14"/>
      <c r="BM376" s="14"/>
      <c r="BN376" s="14"/>
      <c r="BO376" s="14"/>
      <c r="BP376" s="14"/>
      <c r="BQ376" s="14"/>
      <c r="BR376" s="14"/>
      <c r="BS376" s="14"/>
      <c r="BT376" s="14"/>
      <c r="BU376" s="14"/>
      <c r="BV376" s="14"/>
      <c r="BW376" s="14"/>
      <c r="BX376" s="14"/>
      <c r="BY376" s="14"/>
      <c r="BZ376" s="14"/>
      <c r="CA376" s="14"/>
      <c r="CB376" s="14"/>
      <c r="CC376" s="14"/>
      <c r="CD376" s="14"/>
      <c r="CE376" s="14"/>
      <c r="CF376" s="14"/>
      <c r="CG376" s="14"/>
      <c r="CH376" s="14"/>
      <c r="CI376" s="14"/>
      <c r="CJ376" s="14"/>
      <c r="CK376" s="14"/>
      <c r="CL376" s="14"/>
      <c r="CM376" s="14"/>
      <c r="CN376" s="14"/>
      <c r="CO376" s="14"/>
      <c r="CP376" s="14"/>
      <c r="CQ376" s="14"/>
      <c r="CR376" s="14"/>
      <c r="CS376" s="14"/>
      <c r="CT376" s="14"/>
      <c r="CU376" s="14"/>
      <c r="CV376" s="14"/>
      <c r="CW376" s="14"/>
      <c r="CX376" s="14"/>
      <c r="CY376" s="14"/>
      <c r="CZ376" s="14"/>
      <c r="DA376" s="14"/>
      <c r="DB376" s="14"/>
      <c r="DC376" s="14"/>
      <c r="DD376" s="14"/>
      <c r="DE376" s="14"/>
      <c r="DF376" s="14"/>
      <c r="DG376" s="14"/>
      <c r="DH376" s="14"/>
      <c r="DI376" s="14"/>
      <c r="DJ376" s="14"/>
    </row>
    <row r="377" spans="4:114" x14ac:dyDescent="0.25">
      <c r="D377" s="14"/>
      <c r="E377" s="15"/>
      <c r="F377" s="14"/>
      <c r="G377" s="14"/>
      <c r="H377" s="14"/>
      <c r="I377" s="14"/>
      <c r="J377" s="14"/>
      <c r="K377" s="25"/>
      <c r="L377" s="34"/>
      <c r="M377" s="34"/>
      <c r="N377" s="9"/>
      <c r="O377" s="9"/>
      <c r="P377" s="9"/>
      <c r="Q377" s="9"/>
      <c r="R377" s="9"/>
      <c r="S377" s="26"/>
      <c r="T377" s="14"/>
      <c r="U377" s="14"/>
      <c r="V377" s="14"/>
      <c r="W377" s="14"/>
      <c r="X377" s="14"/>
      <c r="Y377" s="14"/>
      <c r="Z377" s="25"/>
      <c r="AA377" s="34"/>
      <c r="AB377" s="37"/>
      <c r="AC377" s="36" t="str">
        <f t="shared" si="5"/>
        <v/>
      </c>
      <c r="AD377" s="9"/>
      <c r="AE377" s="9"/>
      <c r="AF377" s="9"/>
      <c r="AG377" s="9"/>
      <c r="AH377" s="9"/>
      <c r="AI377" s="26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  <c r="BH377" s="14"/>
      <c r="BI377" s="14"/>
      <c r="BJ377" s="14"/>
      <c r="BK377" s="14"/>
      <c r="BL377" s="14"/>
      <c r="BM377" s="14"/>
      <c r="BN377" s="14"/>
      <c r="BO377" s="14"/>
      <c r="BP377" s="14"/>
      <c r="BQ377" s="14"/>
      <c r="BR377" s="14"/>
      <c r="BS377" s="14"/>
      <c r="BT377" s="14"/>
      <c r="BU377" s="14"/>
      <c r="BV377" s="14"/>
      <c r="BW377" s="14"/>
      <c r="BX377" s="14"/>
      <c r="BY377" s="14"/>
      <c r="BZ377" s="14"/>
      <c r="CA377" s="14"/>
      <c r="CB377" s="14"/>
      <c r="CC377" s="14"/>
      <c r="CD377" s="14"/>
      <c r="CE377" s="14"/>
      <c r="CF377" s="14"/>
      <c r="CG377" s="14"/>
      <c r="CH377" s="14"/>
      <c r="CI377" s="14"/>
      <c r="CJ377" s="14"/>
      <c r="CK377" s="14"/>
      <c r="CL377" s="14"/>
      <c r="CM377" s="14"/>
      <c r="CN377" s="14"/>
      <c r="CO377" s="14"/>
      <c r="CP377" s="14"/>
      <c r="CQ377" s="14"/>
      <c r="CR377" s="14"/>
      <c r="CS377" s="14"/>
      <c r="CT377" s="14"/>
      <c r="CU377" s="14"/>
      <c r="CV377" s="14"/>
      <c r="CW377" s="14"/>
      <c r="CX377" s="14"/>
      <c r="CY377" s="14"/>
      <c r="CZ377" s="14"/>
      <c r="DA377" s="14"/>
      <c r="DB377" s="14"/>
      <c r="DC377" s="14"/>
      <c r="DD377" s="14"/>
      <c r="DE377" s="14"/>
      <c r="DF377" s="14"/>
      <c r="DG377" s="14"/>
      <c r="DH377" s="14"/>
      <c r="DI377" s="14"/>
      <c r="DJ377" s="14"/>
    </row>
    <row r="378" spans="4:114" x14ac:dyDescent="0.25">
      <c r="D378" s="14"/>
      <c r="E378" s="15"/>
      <c r="F378" s="14"/>
      <c r="G378" s="14"/>
      <c r="H378" s="14"/>
      <c r="I378" s="14"/>
      <c r="J378" s="14"/>
      <c r="K378" s="25"/>
      <c r="L378" s="34"/>
      <c r="M378" s="34"/>
      <c r="N378" s="9"/>
      <c r="O378" s="9"/>
      <c r="P378" s="9"/>
      <c r="Q378" s="9"/>
      <c r="R378" s="9"/>
      <c r="S378" s="26"/>
      <c r="T378" s="14"/>
      <c r="U378" s="14"/>
      <c r="V378" s="14"/>
      <c r="W378" s="14"/>
      <c r="X378" s="14"/>
      <c r="Y378" s="14"/>
      <c r="Z378" s="25"/>
      <c r="AA378" s="34"/>
      <c r="AB378" s="37"/>
      <c r="AC378" s="36" t="str">
        <f t="shared" si="5"/>
        <v/>
      </c>
      <c r="AD378" s="9"/>
      <c r="AE378" s="9"/>
      <c r="AF378" s="9"/>
      <c r="AG378" s="9"/>
      <c r="AH378" s="9"/>
      <c r="AI378" s="26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  <c r="BH378" s="14"/>
      <c r="BI378" s="14"/>
      <c r="BJ378" s="14"/>
      <c r="BK378" s="14"/>
      <c r="BL378" s="14"/>
      <c r="BM378" s="14"/>
      <c r="BN378" s="14"/>
      <c r="BO378" s="14"/>
      <c r="BP378" s="14"/>
      <c r="BQ378" s="14"/>
      <c r="BR378" s="14"/>
      <c r="BS378" s="14"/>
      <c r="BT378" s="14"/>
      <c r="BU378" s="14"/>
      <c r="BV378" s="14"/>
      <c r="BW378" s="14"/>
      <c r="BX378" s="14"/>
      <c r="BY378" s="14"/>
      <c r="BZ378" s="14"/>
      <c r="CA378" s="14"/>
      <c r="CB378" s="14"/>
      <c r="CC378" s="14"/>
      <c r="CD378" s="14"/>
      <c r="CE378" s="14"/>
      <c r="CF378" s="14"/>
      <c r="CG378" s="14"/>
      <c r="CH378" s="14"/>
      <c r="CI378" s="14"/>
      <c r="CJ378" s="14"/>
      <c r="CK378" s="14"/>
      <c r="CL378" s="14"/>
      <c r="CM378" s="14"/>
      <c r="CN378" s="14"/>
      <c r="CO378" s="14"/>
      <c r="CP378" s="14"/>
      <c r="CQ378" s="14"/>
      <c r="CR378" s="14"/>
      <c r="CS378" s="14"/>
      <c r="CT378" s="14"/>
      <c r="CU378" s="14"/>
      <c r="CV378" s="14"/>
      <c r="CW378" s="14"/>
      <c r="CX378" s="14"/>
      <c r="CY378" s="14"/>
      <c r="CZ378" s="14"/>
      <c r="DA378" s="14"/>
      <c r="DB378" s="14"/>
      <c r="DC378" s="14"/>
      <c r="DD378" s="14"/>
      <c r="DE378" s="14"/>
      <c r="DF378" s="14"/>
      <c r="DG378" s="14"/>
      <c r="DH378" s="14"/>
      <c r="DI378" s="14"/>
      <c r="DJ378" s="14"/>
    </row>
    <row r="379" spans="4:114" x14ac:dyDescent="0.25">
      <c r="D379" s="14"/>
      <c r="E379" s="15"/>
      <c r="F379" s="14"/>
      <c r="G379" s="14"/>
      <c r="H379" s="14"/>
      <c r="I379" s="14"/>
      <c r="J379" s="14"/>
      <c r="K379" s="25"/>
      <c r="L379" s="34"/>
      <c r="M379" s="34"/>
      <c r="N379" s="9"/>
      <c r="O379" s="9"/>
      <c r="P379" s="9"/>
      <c r="Q379" s="9"/>
      <c r="R379" s="9"/>
      <c r="S379" s="26"/>
      <c r="T379" s="14"/>
      <c r="U379" s="14"/>
      <c r="V379" s="14"/>
      <c r="W379" s="14"/>
      <c r="X379" s="14"/>
      <c r="Y379" s="14"/>
      <c r="Z379" s="25"/>
      <c r="AA379" s="34"/>
      <c r="AB379" s="37"/>
      <c r="AC379" s="36" t="str">
        <f t="shared" si="5"/>
        <v/>
      </c>
      <c r="AD379" s="9"/>
      <c r="AE379" s="9"/>
      <c r="AF379" s="9"/>
      <c r="AG379" s="9"/>
      <c r="AH379" s="9"/>
      <c r="AI379" s="26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  <c r="BH379" s="14"/>
      <c r="BI379" s="14"/>
      <c r="BJ379" s="14"/>
      <c r="BK379" s="14"/>
      <c r="BL379" s="14"/>
      <c r="BM379" s="14"/>
      <c r="BN379" s="14"/>
      <c r="BO379" s="14"/>
      <c r="BP379" s="14"/>
      <c r="BQ379" s="14"/>
      <c r="BR379" s="14"/>
      <c r="BS379" s="14"/>
      <c r="BT379" s="14"/>
      <c r="BU379" s="14"/>
      <c r="BV379" s="14"/>
      <c r="BW379" s="14"/>
      <c r="BX379" s="14"/>
      <c r="BY379" s="14"/>
      <c r="BZ379" s="14"/>
      <c r="CA379" s="14"/>
      <c r="CB379" s="14"/>
      <c r="CC379" s="14"/>
      <c r="CD379" s="14"/>
      <c r="CE379" s="14"/>
      <c r="CF379" s="14"/>
      <c r="CG379" s="14"/>
      <c r="CH379" s="14"/>
      <c r="CI379" s="14"/>
      <c r="CJ379" s="14"/>
      <c r="CK379" s="14"/>
      <c r="CL379" s="14"/>
      <c r="CM379" s="14"/>
      <c r="CN379" s="14"/>
      <c r="CO379" s="14"/>
      <c r="CP379" s="14"/>
      <c r="CQ379" s="14"/>
      <c r="CR379" s="14"/>
      <c r="CS379" s="14"/>
      <c r="CT379" s="14"/>
      <c r="CU379" s="14"/>
      <c r="CV379" s="14"/>
      <c r="CW379" s="14"/>
      <c r="CX379" s="14"/>
      <c r="CY379" s="14"/>
      <c r="CZ379" s="14"/>
      <c r="DA379" s="14"/>
      <c r="DB379" s="14"/>
      <c r="DC379" s="14"/>
      <c r="DD379" s="14"/>
      <c r="DE379" s="14"/>
      <c r="DF379" s="14"/>
      <c r="DG379" s="14"/>
      <c r="DH379" s="14"/>
      <c r="DI379" s="14"/>
      <c r="DJ379" s="14"/>
    </row>
    <row r="380" spans="4:114" x14ac:dyDescent="0.25">
      <c r="D380" s="14"/>
      <c r="E380" s="15"/>
      <c r="F380" s="14"/>
      <c r="G380" s="14"/>
      <c r="H380" s="14"/>
      <c r="I380" s="14"/>
      <c r="J380" s="14"/>
      <c r="K380" s="25"/>
      <c r="L380" s="34"/>
      <c r="M380" s="34"/>
      <c r="N380" s="9"/>
      <c r="O380" s="9"/>
      <c r="P380" s="9"/>
      <c r="Q380" s="9"/>
      <c r="R380" s="9"/>
      <c r="S380" s="26"/>
      <c r="T380" s="14"/>
      <c r="U380" s="14"/>
      <c r="V380" s="14"/>
      <c r="W380" s="14"/>
      <c r="X380" s="14"/>
      <c r="Y380" s="14"/>
      <c r="Z380" s="25"/>
      <c r="AA380" s="34"/>
      <c r="AB380" s="37"/>
      <c r="AC380" s="36" t="str">
        <f t="shared" si="5"/>
        <v/>
      </c>
      <c r="AD380" s="9"/>
      <c r="AE380" s="9"/>
      <c r="AF380" s="9"/>
      <c r="AG380" s="9"/>
      <c r="AH380" s="9"/>
      <c r="AI380" s="26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  <c r="BH380" s="14"/>
      <c r="BI380" s="14"/>
      <c r="BJ380" s="14"/>
      <c r="BK380" s="14"/>
      <c r="BL380" s="14"/>
      <c r="BM380" s="14"/>
      <c r="BN380" s="14"/>
      <c r="BO380" s="14"/>
      <c r="BP380" s="14"/>
      <c r="BQ380" s="14"/>
      <c r="BR380" s="14"/>
      <c r="BS380" s="14"/>
      <c r="BT380" s="14"/>
      <c r="BU380" s="14"/>
      <c r="BV380" s="14"/>
      <c r="BW380" s="14"/>
      <c r="BX380" s="14"/>
      <c r="BY380" s="14"/>
      <c r="BZ380" s="14"/>
      <c r="CA380" s="14"/>
      <c r="CB380" s="14"/>
      <c r="CC380" s="14"/>
      <c r="CD380" s="14"/>
      <c r="CE380" s="14"/>
      <c r="CF380" s="14"/>
      <c r="CG380" s="14"/>
      <c r="CH380" s="14"/>
      <c r="CI380" s="14"/>
      <c r="CJ380" s="14"/>
      <c r="CK380" s="14"/>
      <c r="CL380" s="14"/>
      <c r="CM380" s="14"/>
      <c r="CN380" s="14"/>
      <c r="CO380" s="14"/>
      <c r="CP380" s="14"/>
      <c r="CQ380" s="14"/>
      <c r="CR380" s="14"/>
      <c r="CS380" s="14"/>
      <c r="CT380" s="14"/>
      <c r="CU380" s="14"/>
      <c r="CV380" s="14"/>
      <c r="CW380" s="14"/>
      <c r="CX380" s="14"/>
      <c r="CY380" s="14"/>
      <c r="CZ380" s="14"/>
      <c r="DA380" s="14"/>
      <c r="DB380" s="14"/>
      <c r="DC380" s="14"/>
      <c r="DD380" s="14"/>
      <c r="DE380" s="14"/>
      <c r="DF380" s="14"/>
      <c r="DG380" s="14"/>
      <c r="DH380" s="14"/>
      <c r="DI380" s="14"/>
      <c r="DJ380" s="14"/>
    </row>
    <row r="381" spans="4:114" x14ac:dyDescent="0.25">
      <c r="D381" s="14"/>
      <c r="E381" s="15"/>
      <c r="F381" s="14"/>
      <c r="G381" s="14"/>
      <c r="H381" s="14"/>
      <c r="I381" s="14"/>
      <c r="J381" s="14"/>
      <c r="K381" s="25"/>
      <c r="L381" s="34"/>
      <c r="M381" s="34"/>
      <c r="N381" s="9"/>
      <c r="O381" s="9"/>
      <c r="P381" s="9"/>
      <c r="Q381" s="9"/>
      <c r="R381" s="9"/>
      <c r="S381" s="26"/>
      <c r="T381" s="14"/>
      <c r="U381" s="14"/>
      <c r="V381" s="14"/>
      <c r="W381" s="14"/>
      <c r="X381" s="14"/>
      <c r="Y381" s="14"/>
      <c r="Z381" s="25"/>
      <c r="AA381" s="34"/>
      <c r="AB381" s="37"/>
      <c r="AC381" s="36" t="str">
        <f t="shared" si="5"/>
        <v/>
      </c>
      <c r="AD381" s="9"/>
      <c r="AE381" s="9"/>
      <c r="AF381" s="9"/>
      <c r="AG381" s="9"/>
      <c r="AH381" s="9"/>
      <c r="AI381" s="26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  <c r="BH381" s="14"/>
      <c r="BI381" s="14"/>
      <c r="BJ381" s="14"/>
      <c r="BK381" s="14"/>
      <c r="BL381" s="14"/>
      <c r="BM381" s="14"/>
      <c r="BN381" s="14"/>
      <c r="BO381" s="14"/>
      <c r="BP381" s="14"/>
      <c r="BQ381" s="14"/>
      <c r="BR381" s="14"/>
      <c r="BS381" s="14"/>
      <c r="BT381" s="14"/>
      <c r="BU381" s="14"/>
      <c r="BV381" s="14"/>
      <c r="BW381" s="14"/>
      <c r="BX381" s="14"/>
      <c r="BY381" s="14"/>
      <c r="BZ381" s="14"/>
      <c r="CA381" s="14"/>
      <c r="CB381" s="14"/>
      <c r="CC381" s="14"/>
      <c r="CD381" s="14"/>
      <c r="CE381" s="14"/>
      <c r="CF381" s="14"/>
      <c r="CG381" s="14"/>
      <c r="CH381" s="14"/>
      <c r="CI381" s="14"/>
      <c r="CJ381" s="14"/>
      <c r="CK381" s="14"/>
      <c r="CL381" s="14"/>
      <c r="CM381" s="14"/>
      <c r="CN381" s="14"/>
      <c r="CO381" s="14"/>
      <c r="CP381" s="14"/>
      <c r="CQ381" s="14"/>
      <c r="CR381" s="14"/>
      <c r="CS381" s="14"/>
      <c r="CT381" s="14"/>
      <c r="CU381" s="14"/>
      <c r="CV381" s="14"/>
      <c r="CW381" s="14"/>
      <c r="CX381" s="14"/>
      <c r="CY381" s="14"/>
      <c r="CZ381" s="14"/>
      <c r="DA381" s="14"/>
      <c r="DB381" s="14"/>
      <c r="DC381" s="14"/>
      <c r="DD381" s="14"/>
      <c r="DE381" s="14"/>
      <c r="DF381" s="14"/>
      <c r="DG381" s="14"/>
      <c r="DH381" s="14"/>
      <c r="DI381" s="14"/>
      <c r="DJ381" s="14"/>
    </row>
    <row r="382" spans="4:114" x14ac:dyDescent="0.25">
      <c r="D382" s="14"/>
      <c r="E382" s="15"/>
      <c r="F382" s="14"/>
      <c r="G382" s="14"/>
      <c r="H382" s="14"/>
      <c r="I382" s="14"/>
      <c r="J382" s="14"/>
      <c r="K382" s="25"/>
      <c r="L382" s="34"/>
      <c r="M382" s="34"/>
      <c r="N382" s="9"/>
      <c r="O382" s="9"/>
      <c r="P382" s="9"/>
      <c r="Q382" s="9"/>
      <c r="R382" s="9"/>
      <c r="S382" s="26"/>
      <c r="T382" s="14"/>
      <c r="U382" s="14"/>
      <c r="V382" s="14"/>
      <c r="W382" s="14"/>
      <c r="X382" s="14"/>
      <c r="Y382" s="14"/>
      <c r="Z382" s="25"/>
      <c r="AA382" s="34"/>
      <c r="AB382" s="37"/>
      <c r="AC382" s="36" t="str">
        <f t="shared" si="5"/>
        <v/>
      </c>
      <c r="AD382" s="9"/>
      <c r="AE382" s="9"/>
      <c r="AF382" s="9"/>
      <c r="AG382" s="9"/>
      <c r="AH382" s="9"/>
      <c r="AI382" s="26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  <c r="BH382" s="14"/>
      <c r="BI382" s="14"/>
      <c r="BJ382" s="14"/>
      <c r="BK382" s="14"/>
      <c r="BL382" s="14"/>
      <c r="BM382" s="14"/>
      <c r="BN382" s="14"/>
      <c r="BO382" s="14"/>
      <c r="BP382" s="14"/>
      <c r="BQ382" s="14"/>
      <c r="BR382" s="14"/>
      <c r="BS382" s="14"/>
      <c r="BT382" s="14"/>
      <c r="BU382" s="14"/>
      <c r="BV382" s="14"/>
      <c r="BW382" s="14"/>
      <c r="BX382" s="14"/>
      <c r="BY382" s="14"/>
      <c r="BZ382" s="14"/>
      <c r="CA382" s="14"/>
      <c r="CB382" s="14"/>
      <c r="CC382" s="14"/>
      <c r="CD382" s="14"/>
      <c r="CE382" s="14"/>
      <c r="CF382" s="14"/>
      <c r="CG382" s="14"/>
      <c r="CH382" s="14"/>
      <c r="CI382" s="14"/>
      <c r="CJ382" s="14"/>
      <c r="CK382" s="14"/>
      <c r="CL382" s="14"/>
      <c r="CM382" s="14"/>
      <c r="CN382" s="14"/>
      <c r="CO382" s="14"/>
      <c r="CP382" s="14"/>
      <c r="CQ382" s="14"/>
      <c r="CR382" s="14"/>
      <c r="CS382" s="14"/>
      <c r="CT382" s="14"/>
      <c r="CU382" s="14"/>
      <c r="CV382" s="14"/>
      <c r="CW382" s="14"/>
      <c r="CX382" s="14"/>
      <c r="CY382" s="14"/>
      <c r="CZ382" s="14"/>
      <c r="DA382" s="14"/>
      <c r="DB382" s="14"/>
      <c r="DC382" s="14"/>
      <c r="DD382" s="14"/>
      <c r="DE382" s="14"/>
      <c r="DF382" s="14"/>
      <c r="DG382" s="14"/>
      <c r="DH382" s="14"/>
      <c r="DI382" s="14"/>
      <c r="DJ382" s="14"/>
    </row>
    <row r="383" spans="4:114" x14ac:dyDescent="0.25">
      <c r="D383" s="14"/>
      <c r="E383" s="15"/>
      <c r="F383" s="14"/>
      <c r="G383" s="14"/>
      <c r="H383" s="14"/>
      <c r="I383" s="14"/>
      <c r="J383" s="14"/>
      <c r="K383" s="25"/>
      <c r="L383" s="34"/>
      <c r="M383" s="34"/>
      <c r="N383" s="9"/>
      <c r="O383" s="9"/>
      <c r="P383" s="9"/>
      <c r="Q383" s="9"/>
      <c r="R383" s="9"/>
      <c r="S383" s="26"/>
      <c r="T383" s="14"/>
      <c r="U383" s="14"/>
      <c r="V383" s="14"/>
      <c r="W383" s="14"/>
      <c r="X383" s="14"/>
      <c r="Y383" s="14"/>
      <c r="Z383" s="25"/>
      <c r="AA383" s="34"/>
      <c r="AB383" s="37"/>
      <c r="AC383" s="36" t="str">
        <f t="shared" si="5"/>
        <v/>
      </c>
      <c r="AD383" s="9"/>
      <c r="AE383" s="9"/>
      <c r="AF383" s="9"/>
      <c r="AG383" s="9"/>
      <c r="AH383" s="9"/>
      <c r="AI383" s="26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  <c r="BH383" s="14"/>
      <c r="BI383" s="14"/>
      <c r="BJ383" s="14"/>
      <c r="BK383" s="14"/>
      <c r="BL383" s="14"/>
      <c r="BM383" s="14"/>
      <c r="BN383" s="14"/>
      <c r="BO383" s="14"/>
      <c r="BP383" s="14"/>
      <c r="BQ383" s="14"/>
      <c r="BR383" s="14"/>
      <c r="BS383" s="14"/>
      <c r="BT383" s="14"/>
      <c r="BU383" s="14"/>
      <c r="BV383" s="14"/>
      <c r="BW383" s="14"/>
      <c r="BX383" s="14"/>
      <c r="BY383" s="14"/>
      <c r="BZ383" s="14"/>
      <c r="CA383" s="14"/>
      <c r="CB383" s="14"/>
      <c r="CC383" s="14"/>
      <c r="CD383" s="14"/>
      <c r="CE383" s="14"/>
      <c r="CF383" s="14"/>
      <c r="CG383" s="14"/>
      <c r="CH383" s="14"/>
      <c r="CI383" s="14"/>
      <c r="CJ383" s="14"/>
      <c r="CK383" s="14"/>
      <c r="CL383" s="14"/>
      <c r="CM383" s="14"/>
      <c r="CN383" s="14"/>
      <c r="CO383" s="14"/>
      <c r="CP383" s="14"/>
      <c r="CQ383" s="14"/>
      <c r="CR383" s="14"/>
      <c r="CS383" s="14"/>
      <c r="CT383" s="14"/>
      <c r="CU383" s="14"/>
      <c r="CV383" s="14"/>
      <c r="CW383" s="14"/>
      <c r="CX383" s="14"/>
      <c r="CY383" s="14"/>
      <c r="CZ383" s="14"/>
      <c r="DA383" s="14"/>
      <c r="DB383" s="14"/>
      <c r="DC383" s="14"/>
      <c r="DD383" s="14"/>
      <c r="DE383" s="14"/>
      <c r="DF383" s="14"/>
      <c r="DG383" s="14"/>
      <c r="DH383" s="14"/>
      <c r="DI383" s="14"/>
      <c r="DJ383" s="14"/>
    </row>
    <row r="384" spans="4:114" x14ac:dyDescent="0.25">
      <c r="D384" s="14"/>
      <c r="E384" s="15"/>
      <c r="F384" s="14"/>
      <c r="G384" s="14"/>
      <c r="H384" s="14"/>
      <c r="I384" s="14"/>
      <c r="J384" s="14"/>
      <c r="K384" s="25"/>
      <c r="L384" s="34"/>
      <c r="M384" s="34"/>
      <c r="N384" s="9"/>
      <c r="O384" s="9"/>
      <c r="P384" s="9"/>
      <c r="Q384" s="9"/>
      <c r="R384" s="9"/>
      <c r="S384" s="26"/>
      <c r="T384" s="14"/>
      <c r="U384" s="14"/>
      <c r="V384" s="14"/>
      <c r="W384" s="14"/>
      <c r="X384" s="14"/>
      <c r="Y384" s="14"/>
      <c r="Z384" s="25"/>
      <c r="AA384" s="34"/>
      <c r="AB384" s="37"/>
      <c r="AC384" s="36" t="str">
        <f t="shared" si="5"/>
        <v/>
      </c>
      <c r="AD384" s="9"/>
      <c r="AE384" s="9"/>
      <c r="AF384" s="9"/>
      <c r="AG384" s="9"/>
      <c r="AH384" s="9"/>
      <c r="AI384" s="26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  <c r="BH384" s="14"/>
      <c r="BI384" s="14"/>
      <c r="BJ384" s="14"/>
      <c r="BK384" s="14"/>
      <c r="BL384" s="14"/>
      <c r="BM384" s="14"/>
      <c r="BN384" s="14"/>
      <c r="BO384" s="14"/>
      <c r="BP384" s="14"/>
      <c r="BQ384" s="14"/>
      <c r="BR384" s="14"/>
      <c r="BS384" s="14"/>
      <c r="BT384" s="14"/>
      <c r="BU384" s="14"/>
      <c r="BV384" s="14"/>
      <c r="BW384" s="14"/>
      <c r="BX384" s="14"/>
      <c r="BY384" s="14"/>
      <c r="BZ384" s="14"/>
      <c r="CA384" s="14"/>
      <c r="CB384" s="14"/>
      <c r="CC384" s="14"/>
      <c r="CD384" s="14"/>
      <c r="CE384" s="14"/>
      <c r="CF384" s="14"/>
      <c r="CG384" s="14"/>
      <c r="CH384" s="14"/>
      <c r="CI384" s="14"/>
      <c r="CJ384" s="14"/>
      <c r="CK384" s="14"/>
      <c r="CL384" s="14"/>
      <c r="CM384" s="14"/>
      <c r="CN384" s="14"/>
      <c r="CO384" s="14"/>
      <c r="CP384" s="14"/>
      <c r="CQ384" s="14"/>
      <c r="CR384" s="14"/>
      <c r="CS384" s="14"/>
      <c r="CT384" s="14"/>
      <c r="CU384" s="14"/>
      <c r="CV384" s="14"/>
      <c r="CW384" s="14"/>
      <c r="CX384" s="14"/>
      <c r="CY384" s="14"/>
      <c r="CZ384" s="14"/>
      <c r="DA384" s="14"/>
      <c r="DB384" s="14"/>
      <c r="DC384" s="14"/>
      <c r="DD384" s="14"/>
      <c r="DE384" s="14"/>
      <c r="DF384" s="14"/>
      <c r="DG384" s="14"/>
      <c r="DH384" s="14"/>
      <c r="DI384" s="14"/>
      <c r="DJ384" s="14"/>
    </row>
    <row r="385" spans="4:114" x14ac:dyDescent="0.25">
      <c r="D385" s="14"/>
      <c r="E385" s="15"/>
      <c r="F385" s="14"/>
      <c r="G385" s="14"/>
      <c r="H385" s="14"/>
      <c r="I385" s="14"/>
      <c r="J385" s="14"/>
      <c r="K385" s="25"/>
      <c r="L385" s="34"/>
      <c r="M385" s="34"/>
      <c r="N385" s="9"/>
      <c r="O385" s="9"/>
      <c r="P385" s="9"/>
      <c r="Q385" s="9"/>
      <c r="R385" s="9"/>
      <c r="S385" s="26"/>
      <c r="T385" s="14"/>
      <c r="U385" s="14"/>
      <c r="V385" s="14"/>
      <c r="W385" s="14"/>
      <c r="X385" s="14"/>
      <c r="Y385" s="14"/>
      <c r="Z385" s="25"/>
      <c r="AA385" s="34"/>
      <c r="AB385" s="37"/>
      <c r="AC385" s="36" t="str">
        <f t="shared" si="5"/>
        <v/>
      </c>
      <c r="AD385" s="9"/>
      <c r="AE385" s="9"/>
      <c r="AF385" s="9"/>
      <c r="AG385" s="9"/>
      <c r="AH385" s="9"/>
      <c r="AI385" s="26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  <c r="BH385" s="14"/>
      <c r="BI385" s="14"/>
      <c r="BJ385" s="14"/>
      <c r="BK385" s="14"/>
      <c r="BL385" s="14"/>
      <c r="BM385" s="14"/>
      <c r="BN385" s="14"/>
      <c r="BO385" s="14"/>
      <c r="BP385" s="14"/>
      <c r="BQ385" s="14"/>
      <c r="BR385" s="14"/>
      <c r="BS385" s="14"/>
      <c r="BT385" s="14"/>
      <c r="BU385" s="14"/>
      <c r="BV385" s="14"/>
      <c r="BW385" s="14"/>
      <c r="BX385" s="14"/>
      <c r="BY385" s="14"/>
      <c r="BZ385" s="14"/>
      <c r="CA385" s="14"/>
      <c r="CB385" s="14"/>
      <c r="CC385" s="14"/>
      <c r="CD385" s="14"/>
      <c r="CE385" s="14"/>
      <c r="CF385" s="14"/>
      <c r="CG385" s="14"/>
      <c r="CH385" s="14"/>
      <c r="CI385" s="14"/>
      <c r="CJ385" s="14"/>
      <c r="CK385" s="14"/>
      <c r="CL385" s="14"/>
      <c r="CM385" s="14"/>
      <c r="CN385" s="14"/>
      <c r="CO385" s="14"/>
      <c r="CP385" s="14"/>
      <c r="CQ385" s="14"/>
      <c r="CR385" s="14"/>
      <c r="CS385" s="14"/>
      <c r="CT385" s="14"/>
      <c r="CU385" s="14"/>
      <c r="CV385" s="14"/>
      <c r="CW385" s="14"/>
      <c r="CX385" s="14"/>
      <c r="CY385" s="14"/>
      <c r="CZ385" s="14"/>
      <c r="DA385" s="14"/>
      <c r="DB385" s="14"/>
      <c r="DC385" s="14"/>
      <c r="DD385" s="14"/>
      <c r="DE385" s="14"/>
      <c r="DF385" s="14"/>
      <c r="DG385" s="14"/>
      <c r="DH385" s="14"/>
      <c r="DI385" s="14"/>
      <c r="DJ385" s="14"/>
    </row>
    <row r="386" spans="4:114" x14ac:dyDescent="0.25">
      <c r="D386" s="14"/>
      <c r="E386" s="15"/>
      <c r="F386" s="14"/>
      <c r="G386" s="14"/>
      <c r="H386" s="14"/>
      <c r="I386" s="14"/>
      <c r="J386" s="14"/>
      <c r="K386" s="25"/>
      <c r="L386" s="34"/>
      <c r="M386" s="34"/>
      <c r="N386" s="9"/>
      <c r="O386" s="9"/>
      <c r="P386" s="9"/>
      <c r="Q386" s="9"/>
      <c r="R386" s="9"/>
      <c r="S386" s="26"/>
      <c r="T386" s="14"/>
      <c r="U386" s="14"/>
      <c r="V386" s="14"/>
      <c r="W386" s="14"/>
      <c r="X386" s="14"/>
      <c r="Y386" s="14"/>
      <c r="Z386" s="25"/>
      <c r="AA386" s="34"/>
      <c r="AB386" s="37"/>
      <c r="AC386" s="36" t="str">
        <f t="shared" si="5"/>
        <v/>
      </c>
      <c r="AD386" s="9"/>
      <c r="AE386" s="9"/>
      <c r="AF386" s="9"/>
      <c r="AG386" s="9"/>
      <c r="AH386" s="9"/>
      <c r="AI386" s="26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  <c r="BH386" s="14"/>
      <c r="BI386" s="14"/>
      <c r="BJ386" s="14"/>
      <c r="BK386" s="14"/>
      <c r="BL386" s="14"/>
      <c r="BM386" s="14"/>
      <c r="BN386" s="14"/>
      <c r="BO386" s="14"/>
      <c r="BP386" s="14"/>
      <c r="BQ386" s="14"/>
      <c r="BR386" s="14"/>
      <c r="BS386" s="14"/>
      <c r="BT386" s="14"/>
      <c r="BU386" s="14"/>
      <c r="BV386" s="14"/>
      <c r="BW386" s="14"/>
      <c r="BX386" s="14"/>
      <c r="BY386" s="14"/>
      <c r="BZ386" s="14"/>
      <c r="CA386" s="14"/>
      <c r="CB386" s="14"/>
      <c r="CC386" s="14"/>
      <c r="CD386" s="14"/>
      <c r="CE386" s="14"/>
      <c r="CF386" s="14"/>
      <c r="CG386" s="14"/>
      <c r="CH386" s="14"/>
      <c r="CI386" s="14"/>
      <c r="CJ386" s="14"/>
      <c r="CK386" s="14"/>
      <c r="CL386" s="14"/>
      <c r="CM386" s="14"/>
      <c r="CN386" s="14"/>
      <c r="CO386" s="14"/>
      <c r="CP386" s="14"/>
      <c r="CQ386" s="14"/>
      <c r="CR386" s="14"/>
      <c r="CS386" s="14"/>
      <c r="CT386" s="14"/>
      <c r="CU386" s="14"/>
      <c r="CV386" s="14"/>
      <c r="CW386" s="14"/>
      <c r="CX386" s="14"/>
      <c r="CY386" s="14"/>
      <c r="CZ386" s="14"/>
      <c r="DA386" s="14"/>
      <c r="DB386" s="14"/>
      <c r="DC386" s="14"/>
      <c r="DD386" s="14"/>
      <c r="DE386" s="14"/>
      <c r="DF386" s="14"/>
      <c r="DG386" s="14"/>
      <c r="DH386" s="14"/>
      <c r="DI386" s="14"/>
      <c r="DJ386" s="14"/>
    </row>
    <row r="387" spans="4:114" x14ac:dyDescent="0.25">
      <c r="D387" s="14"/>
      <c r="E387" s="15"/>
      <c r="F387" s="14"/>
      <c r="G387" s="14"/>
      <c r="H387" s="14"/>
      <c r="I387" s="14"/>
      <c r="J387" s="14"/>
      <c r="K387" s="25"/>
      <c r="L387" s="34"/>
      <c r="M387" s="34"/>
      <c r="N387" s="9"/>
      <c r="O387" s="9"/>
      <c r="P387" s="9"/>
      <c r="Q387" s="9"/>
      <c r="R387" s="9"/>
      <c r="S387" s="26"/>
      <c r="T387" s="14"/>
      <c r="U387" s="14"/>
      <c r="V387" s="14"/>
      <c r="W387" s="14"/>
      <c r="X387" s="14"/>
      <c r="Y387" s="14"/>
      <c r="Z387" s="25"/>
      <c r="AA387" s="34"/>
      <c r="AB387" s="37"/>
      <c r="AC387" s="36" t="str">
        <f t="shared" si="5"/>
        <v/>
      </c>
      <c r="AD387" s="9"/>
      <c r="AE387" s="9"/>
      <c r="AF387" s="9"/>
      <c r="AG387" s="9"/>
      <c r="AH387" s="9"/>
      <c r="AI387" s="26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  <c r="BH387" s="14"/>
      <c r="BI387" s="14"/>
      <c r="BJ387" s="14"/>
      <c r="BK387" s="14"/>
      <c r="BL387" s="14"/>
      <c r="BM387" s="14"/>
      <c r="BN387" s="14"/>
      <c r="BO387" s="14"/>
      <c r="BP387" s="14"/>
      <c r="BQ387" s="14"/>
      <c r="BR387" s="14"/>
      <c r="BS387" s="14"/>
      <c r="BT387" s="14"/>
      <c r="BU387" s="14"/>
      <c r="BV387" s="14"/>
      <c r="BW387" s="14"/>
      <c r="BX387" s="14"/>
      <c r="BY387" s="14"/>
      <c r="BZ387" s="14"/>
      <c r="CA387" s="14"/>
      <c r="CB387" s="14"/>
      <c r="CC387" s="14"/>
      <c r="CD387" s="14"/>
      <c r="CE387" s="14"/>
      <c r="CF387" s="14"/>
      <c r="CG387" s="14"/>
      <c r="CH387" s="14"/>
      <c r="CI387" s="14"/>
      <c r="CJ387" s="14"/>
      <c r="CK387" s="14"/>
      <c r="CL387" s="14"/>
      <c r="CM387" s="14"/>
      <c r="CN387" s="14"/>
      <c r="CO387" s="14"/>
      <c r="CP387" s="14"/>
      <c r="CQ387" s="14"/>
      <c r="CR387" s="14"/>
      <c r="CS387" s="14"/>
      <c r="CT387" s="14"/>
      <c r="CU387" s="14"/>
      <c r="CV387" s="14"/>
      <c r="CW387" s="14"/>
      <c r="CX387" s="14"/>
      <c r="CY387" s="14"/>
      <c r="CZ387" s="14"/>
      <c r="DA387" s="14"/>
      <c r="DB387" s="14"/>
      <c r="DC387" s="14"/>
      <c r="DD387" s="14"/>
      <c r="DE387" s="14"/>
      <c r="DF387" s="14"/>
      <c r="DG387" s="14"/>
      <c r="DH387" s="14"/>
      <c r="DI387" s="14"/>
      <c r="DJ387" s="14"/>
    </row>
    <row r="388" spans="4:114" x14ac:dyDescent="0.25">
      <c r="D388" s="14"/>
      <c r="E388" s="15"/>
      <c r="F388" s="14"/>
      <c r="G388" s="14"/>
      <c r="H388" s="14"/>
      <c r="I388" s="14"/>
      <c r="J388" s="14"/>
      <c r="K388" s="25"/>
      <c r="L388" s="34"/>
      <c r="M388" s="34"/>
      <c r="N388" s="9"/>
      <c r="O388" s="9"/>
      <c r="P388" s="9"/>
      <c r="Q388" s="9"/>
      <c r="R388" s="9"/>
      <c r="S388" s="26"/>
      <c r="T388" s="14"/>
      <c r="U388" s="14"/>
      <c r="V388" s="14"/>
      <c r="W388" s="14"/>
      <c r="X388" s="14"/>
      <c r="Y388" s="14"/>
      <c r="Z388" s="25"/>
      <c r="AA388" s="34"/>
      <c r="AB388" s="37"/>
      <c r="AC388" s="36" t="str">
        <f t="shared" si="5"/>
        <v/>
      </c>
      <c r="AD388" s="9"/>
      <c r="AE388" s="9"/>
      <c r="AF388" s="9"/>
      <c r="AG388" s="9"/>
      <c r="AH388" s="9"/>
      <c r="AI388" s="26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  <c r="BH388" s="14"/>
      <c r="BI388" s="14"/>
      <c r="BJ388" s="14"/>
      <c r="BK388" s="14"/>
      <c r="BL388" s="14"/>
      <c r="BM388" s="14"/>
      <c r="BN388" s="14"/>
      <c r="BO388" s="14"/>
      <c r="BP388" s="14"/>
      <c r="BQ388" s="14"/>
      <c r="BR388" s="14"/>
      <c r="BS388" s="14"/>
      <c r="BT388" s="14"/>
      <c r="BU388" s="14"/>
      <c r="BV388" s="14"/>
      <c r="BW388" s="14"/>
      <c r="BX388" s="14"/>
      <c r="BY388" s="14"/>
      <c r="BZ388" s="14"/>
      <c r="CA388" s="14"/>
      <c r="CB388" s="14"/>
      <c r="CC388" s="14"/>
      <c r="CD388" s="14"/>
      <c r="CE388" s="14"/>
      <c r="CF388" s="14"/>
      <c r="CG388" s="14"/>
      <c r="CH388" s="14"/>
      <c r="CI388" s="14"/>
      <c r="CJ388" s="14"/>
      <c r="CK388" s="14"/>
      <c r="CL388" s="14"/>
      <c r="CM388" s="14"/>
      <c r="CN388" s="14"/>
      <c r="CO388" s="14"/>
      <c r="CP388" s="14"/>
      <c r="CQ388" s="14"/>
      <c r="CR388" s="14"/>
      <c r="CS388" s="14"/>
      <c r="CT388" s="14"/>
      <c r="CU388" s="14"/>
      <c r="CV388" s="14"/>
      <c r="CW388" s="14"/>
      <c r="CX388" s="14"/>
      <c r="CY388" s="14"/>
      <c r="CZ388" s="14"/>
      <c r="DA388" s="14"/>
      <c r="DB388" s="14"/>
      <c r="DC388" s="14"/>
      <c r="DD388" s="14"/>
      <c r="DE388" s="14"/>
      <c r="DF388" s="14"/>
      <c r="DG388" s="14"/>
      <c r="DH388" s="14"/>
      <c r="DI388" s="14"/>
      <c r="DJ388" s="14"/>
    </row>
    <row r="389" spans="4:114" x14ac:dyDescent="0.25">
      <c r="D389" s="14"/>
      <c r="E389" s="15"/>
      <c r="F389" s="14"/>
      <c r="G389" s="14"/>
      <c r="H389" s="14"/>
      <c r="I389" s="14"/>
      <c r="J389" s="14"/>
      <c r="K389" s="25"/>
      <c r="L389" s="34"/>
      <c r="M389" s="34"/>
      <c r="N389" s="9"/>
      <c r="O389" s="9"/>
      <c r="P389" s="9"/>
      <c r="Q389" s="9"/>
      <c r="R389" s="9"/>
      <c r="S389" s="26"/>
      <c r="T389" s="14"/>
      <c r="U389" s="14"/>
      <c r="V389" s="14"/>
      <c r="W389" s="14"/>
      <c r="X389" s="14"/>
      <c r="Y389" s="14"/>
      <c r="Z389" s="25"/>
      <c r="AA389" s="34"/>
      <c r="AB389" s="37"/>
      <c r="AC389" s="36" t="str">
        <f t="shared" si="5"/>
        <v/>
      </c>
      <c r="AD389" s="9"/>
      <c r="AE389" s="9"/>
      <c r="AF389" s="9"/>
      <c r="AG389" s="9"/>
      <c r="AH389" s="9"/>
      <c r="AI389" s="26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  <c r="BH389" s="14"/>
      <c r="BI389" s="14"/>
      <c r="BJ389" s="14"/>
      <c r="BK389" s="14"/>
      <c r="BL389" s="14"/>
      <c r="BM389" s="14"/>
      <c r="BN389" s="14"/>
      <c r="BO389" s="14"/>
      <c r="BP389" s="14"/>
      <c r="BQ389" s="14"/>
      <c r="BR389" s="14"/>
      <c r="BS389" s="14"/>
      <c r="BT389" s="14"/>
      <c r="BU389" s="14"/>
      <c r="BV389" s="14"/>
      <c r="BW389" s="14"/>
      <c r="BX389" s="14"/>
      <c r="BY389" s="14"/>
      <c r="BZ389" s="14"/>
      <c r="CA389" s="14"/>
      <c r="CB389" s="14"/>
      <c r="CC389" s="14"/>
      <c r="CD389" s="14"/>
      <c r="CE389" s="14"/>
      <c r="CF389" s="14"/>
      <c r="CG389" s="14"/>
      <c r="CH389" s="14"/>
      <c r="CI389" s="14"/>
      <c r="CJ389" s="14"/>
      <c r="CK389" s="14"/>
      <c r="CL389" s="14"/>
      <c r="CM389" s="14"/>
      <c r="CN389" s="14"/>
      <c r="CO389" s="14"/>
      <c r="CP389" s="14"/>
      <c r="CQ389" s="14"/>
      <c r="CR389" s="14"/>
      <c r="CS389" s="14"/>
      <c r="CT389" s="14"/>
      <c r="CU389" s="14"/>
      <c r="CV389" s="14"/>
      <c r="CW389" s="14"/>
      <c r="CX389" s="14"/>
      <c r="CY389" s="14"/>
      <c r="CZ389" s="14"/>
      <c r="DA389" s="14"/>
      <c r="DB389" s="14"/>
      <c r="DC389" s="14"/>
      <c r="DD389" s="14"/>
      <c r="DE389" s="14"/>
      <c r="DF389" s="14"/>
      <c r="DG389" s="14"/>
      <c r="DH389" s="14"/>
      <c r="DI389" s="14"/>
      <c r="DJ389" s="14"/>
    </row>
    <row r="390" spans="4:114" x14ac:dyDescent="0.25">
      <c r="D390" s="14"/>
      <c r="E390" s="15"/>
      <c r="F390" s="14"/>
      <c r="G390" s="14"/>
      <c r="H390" s="14"/>
      <c r="I390" s="14"/>
      <c r="J390" s="14"/>
      <c r="K390" s="25"/>
      <c r="L390" s="34"/>
      <c r="M390" s="34"/>
      <c r="N390" s="9"/>
      <c r="O390" s="9"/>
      <c r="P390" s="9"/>
      <c r="Q390" s="9"/>
      <c r="R390" s="9"/>
      <c r="S390" s="26"/>
      <c r="T390" s="14"/>
      <c r="U390" s="14"/>
      <c r="V390" s="14"/>
      <c r="W390" s="14"/>
      <c r="X390" s="14"/>
      <c r="Y390" s="14"/>
      <c r="Z390" s="25"/>
      <c r="AA390" s="34"/>
      <c r="AB390" s="37"/>
      <c r="AC390" s="36" t="str">
        <f t="shared" si="5"/>
        <v/>
      </c>
      <c r="AD390" s="9"/>
      <c r="AE390" s="9"/>
      <c r="AF390" s="9"/>
      <c r="AG390" s="9"/>
      <c r="AH390" s="9"/>
      <c r="AI390" s="26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  <c r="BH390" s="14"/>
      <c r="BI390" s="14"/>
      <c r="BJ390" s="14"/>
      <c r="BK390" s="14"/>
      <c r="BL390" s="14"/>
      <c r="BM390" s="14"/>
      <c r="BN390" s="14"/>
      <c r="BO390" s="14"/>
      <c r="BP390" s="14"/>
      <c r="BQ390" s="14"/>
      <c r="BR390" s="14"/>
      <c r="BS390" s="14"/>
      <c r="BT390" s="14"/>
      <c r="BU390" s="14"/>
      <c r="BV390" s="14"/>
      <c r="BW390" s="14"/>
      <c r="BX390" s="14"/>
      <c r="BY390" s="14"/>
      <c r="BZ390" s="14"/>
      <c r="CA390" s="14"/>
      <c r="CB390" s="14"/>
      <c r="CC390" s="14"/>
      <c r="CD390" s="14"/>
      <c r="CE390" s="14"/>
      <c r="CF390" s="14"/>
      <c r="CG390" s="14"/>
      <c r="CH390" s="14"/>
      <c r="CI390" s="14"/>
      <c r="CJ390" s="14"/>
      <c r="CK390" s="14"/>
      <c r="CL390" s="14"/>
      <c r="CM390" s="14"/>
      <c r="CN390" s="14"/>
      <c r="CO390" s="14"/>
      <c r="CP390" s="14"/>
      <c r="CQ390" s="14"/>
      <c r="CR390" s="14"/>
      <c r="CS390" s="14"/>
      <c r="CT390" s="14"/>
      <c r="CU390" s="14"/>
      <c r="CV390" s="14"/>
      <c r="CW390" s="14"/>
      <c r="CX390" s="14"/>
      <c r="CY390" s="14"/>
      <c r="CZ390" s="14"/>
      <c r="DA390" s="14"/>
      <c r="DB390" s="14"/>
      <c r="DC390" s="14"/>
      <c r="DD390" s="14"/>
      <c r="DE390" s="14"/>
      <c r="DF390" s="14"/>
      <c r="DG390" s="14"/>
      <c r="DH390" s="14"/>
      <c r="DI390" s="14"/>
      <c r="DJ390" s="14"/>
    </row>
    <row r="391" spans="4:114" x14ac:dyDescent="0.25">
      <c r="D391" s="14"/>
      <c r="E391" s="15"/>
      <c r="F391" s="14"/>
      <c r="G391" s="14"/>
      <c r="H391" s="14"/>
      <c r="I391" s="14"/>
      <c r="J391" s="14"/>
      <c r="K391" s="25"/>
      <c r="L391" s="34"/>
      <c r="M391" s="34"/>
      <c r="N391" s="9"/>
      <c r="O391" s="9"/>
      <c r="P391" s="9"/>
      <c r="Q391" s="9"/>
      <c r="R391" s="9"/>
      <c r="S391" s="26"/>
      <c r="T391" s="14"/>
      <c r="U391" s="14"/>
      <c r="V391" s="14"/>
      <c r="W391" s="14"/>
      <c r="X391" s="14"/>
      <c r="Y391" s="14"/>
      <c r="Z391" s="25"/>
      <c r="AA391" s="34"/>
      <c r="AB391" s="37"/>
      <c r="AC391" s="36" t="str">
        <f t="shared" si="5"/>
        <v/>
      </c>
      <c r="AD391" s="9"/>
      <c r="AE391" s="9"/>
      <c r="AF391" s="9"/>
      <c r="AG391" s="9"/>
      <c r="AH391" s="9"/>
      <c r="AI391" s="26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  <c r="BH391" s="14"/>
      <c r="BI391" s="14"/>
      <c r="BJ391" s="14"/>
      <c r="BK391" s="14"/>
      <c r="BL391" s="14"/>
      <c r="BM391" s="14"/>
      <c r="BN391" s="14"/>
      <c r="BO391" s="14"/>
      <c r="BP391" s="14"/>
      <c r="BQ391" s="14"/>
      <c r="BR391" s="14"/>
      <c r="BS391" s="14"/>
      <c r="BT391" s="14"/>
      <c r="BU391" s="14"/>
      <c r="BV391" s="14"/>
      <c r="BW391" s="14"/>
      <c r="BX391" s="14"/>
      <c r="BY391" s="14"/>
      <c r="BZ391" s="14"/>
      <c r="CA391" s="14"/>
      <c r="CB391" s="14"/>
      <c r="CC391" s="14"/>
      <c r="CD391" s="14"/>
      <c r="CE391" s="14"/>
      <c r="CF391" s="14"/>
      <c r="CG391" s="14"/>
      <c r="CH391" s="14"/>
      <c r="CI391" s="14"/>
      <c r="CJ391" s="14"/>
      <c r="CK391" s="14"/>
      <c r="CL391" s="14"/>
      <c r="CM391" s="14"/>
      <c r="CN391" s="14"/>
      <c r="CO391" s="14"/>
      <c r="CP391" s="14"/>
      <c r="CQ391" s="14"/>
      <c r="CR391" s="14"/>
      <c r="CS391" s="14"/>
      <c r="CT391" s="14"/>
      <c r="CU391" s="14"/>
      <c r="CV391" s="14"/>
      <c r="CW391" s="14"/>
      <c r="CX391" s="14"/>
      <c r="CY391" s="14"/>
      <c r="CZ391" s="14"/>
      <c r="DA391" s="14"/>
      <c r="DB391" s="14"/>
      <c r="DC391" s="14"/>
      <c r="DD391" s="14"/>
      <c r="DE391" s="14"/>
      <c r="DF391" s="14"/>
      <c r="DG391" s="14"/>
      <c r="DH391" s="14"/>
      <c r="DI391" s="14"/>
      <c r="DJ391" s="14"/>
    </row>
    <row r="392" spans="4:114" x14ac:dyDescent="0.25">
      <c r="D392" s="14"/>
      <c r="E392" s="15"/>
      <c r="F392" s="14"/>
      <c r="G392" s="14"/>
      <c r="H392" s="14"/>
      <c r="I392" s="14"/>
      <c r="J392" s="14"/>
      <c r="K392" s="25"/>
      <c r="L392" s="34"/>
      <c r="M392" s="34"/>
      <c r="N392" s="9"/>
      <c r="O392" s="9"/>
      <c r="P392" s="9"/>
      <c r="Q392" s="9"/>
      <c r="R392" s="9"/>
      <c r="S392" s="26"/>
      <c r="T392" s="14"/>
      <c r="U392" s="14"/>
      <c r="V392" s="14"/>
      <c r="W392" s="14"/>
      <c r="X392" s="14"/>
      <c r="Y392" s="14"/>
      <c r="Z392" s="25"/>
      <c r="AA392" s="34"/>
      <c r="AB392" s="37"/>
      <c r="AC392" s="36" t="str">
        <f t="shared" si="5"/>
        <v/>
      </c>
      <c r="AD392" s="9"/>
      <c r="AE392" s="9"/>
      <c r="AF392" s="9"/>
      <c r="AG392" s="9"/>
      <c r="AH392" s="9"/>
      <c r="AI392" s="26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  <c r="BH392" s="14"/>
      <c r="BI392" s="14"/>
      <c r="BJ392" s="14"/>
      <c r="BK392" s="14"/>
      <c r="BL392" s="14"/>
      <c r="BM392" s="14"/>
      <c r="BN392" s="14"/>
      <c r="BO392" s="14"/>
      <c r="BP392" s="14"/>
      <c r="BQ392" s="14"/>
      <c r="BR392" s="14"/>
      <c r="BS392" s="14"/>
      <c r="BT392" s="14"/>
      <c r="BU392" s="14"/>
      <c r="BV392" s="14"/>
      <c r="BW392" s="14"/>
      <c r="BX392" s="14"/>
      <c r="BY392" s="14"/>
      <c r="BZ392" s="14"/>
      <c r="CA392" s="14"/>
      <c r="CB392" s="14"/>
      <c r="CC392" s="14"/>
      <c r="CD392" s="14"/>
      <c r="CE392" s="14"/>
      <c r="CF392" s="14"/>
      <c r="CG392" s="14"/>
      <c r="CH392" s="14"/>
      <c r="CI392" s="14"/>
      <c r="CJ392" s="14"/>
      <c r="CK392" s="14"/>
      <c r="CL392" s="14"/>
      <c r="CM392" s="14"/>
      <c r="CN392" s="14"/>
      <c r="CO392" s="14"/>
      <c r="CP392" s="14"/>
      <c r="CQ392" s="14"/>
      <c r="CR392" s="14"/>
      <c r="CS392" s="14"/>
      <c r="CT392" s="14"/>
      <c r="CU392" s="14"/>
      <c r="CV392" s="14"/>
      <c r="CW392" s="14"/>
      <c r="CX392" s="14"/>
      <c r="CY392" s="14"/>
      <c r="CZ392" s="14"/>
      <c r="DA392" s="14"/>
      <c r="DB392" s="14"/>
      <c r="DC392" s="14"/>
      <c r="DD392" s="14"/>
      <c r="DE392" s="14"/>
      <c r="DF392" s="14"/>
      <c r="DG392" s="14"/>
      <c r="DH392" s="14"/>
      <c r="DI392" s="14"/>
      <c r="DJ392" s="14"/>
    </row>
    <row r="393" spans="4:114" x14ac:dyDescent="0.25">
      <c r="D393" s="14"/>
      <c r="E393" s="15"/>
      <c r="F393" s="14"/>
      <c r="G393" s="14"/>
      <c r="H393" s="14"/>
      <c r="I393" s="14"/>
      <c r="J393" s="14"/>
      <c r="K393" s="25"/>
      <c r="L393" s="34"/>
      <c r="M393" s="34"/>
      <c r="N393" s="9"/>
      <c r="O393" s="9"/>
      <c r="P393" s="9"/>
      <c r="Q393" s="9"/>
      <c r="R393" s="9"/>
      <c r="S393" s="26"/>
      <c r="T393" s="14"/>
      <c r="U393" s="14"/>
      <c r="V393" s="14"/>
      <c r="W393" s="14"/>
      <c r="X393" s="14"/>
      <c r="Y393" s="14"/>
      <c r="Z393" s="25"/>
      <c r="AA393" s="34"/>
      <c r="AB393" s="37"/>
      <c r="AC393" s="36" t="str">
        <f t="shared" si="5"/>
        <v/>
      </c>
      <c r="AD393" s="9"/>
      <c r="AE393" s="9"/>
      <c r="AF393" s="9"/>
      <c r="AG393" s="9"/>
      <c r="AH393" s="9"/>
      <c r="AI393" s="26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  <c r="BH393" s="14"/>
      <c r="BI393" s="14"/>
      <c r="BJ393" s="14"/>
      <c r="BK393" s="14"/>
      <c r="BL393" s="14"/>
      <c r="BM393" s="14"/>
      <c r="BN393" s="14"/>
      <c r="BO393" s="14"/>
      <c r="BP393" s="14"/>
      <c r="BQ393" s="14"/>
      <c r="BR393" s="14"/>
      <c r="BS393" s="14"/>
      <c r="BT393" s="14"/>
      <c r="BU393" s="14"/>
      <c r="BV393" s="14"/>
      <c r="BW393" s="14"/>
      <c r="BX393" s="14"/>
      <c r="BY393" s="14"/>
      <c r="BZ393" s="14"/>
      <c r="CA393" s="14"/>
      <c r="CB393" s="14"/>
      <c r="CC393" s="14"/>
      <c r="CD393" s="14"/>
      <c r="CE393" s="14"/>
      <c r="CF393" s="14"/>
      <c r="CG393" s="14"/>
      <c r="CH393" s="14"/>
      <c r="CI393" s="14"/>
      <c r="CJ393" s="14"/>
      <c r="CK393" s="14"/>
      <c r="CL393" s="14"/>
      <c r="CM393" s="14"/>
      <c r="CN393" s="14"/>
      <c r="CO393" s="14"/>
      <c r="CP393" s="14"/>
      <c r="CQ393" s="14"/>
      <c r="CR393" s="14"/>
      <c r="CS393" s="14"/>
      <c r="CT393" s="14"/>
      <c r="CU393" s="14"/>
      <c r="CV393" s="14"/>
      <c r="CW393" s="14"/>
      <c r="CX393" s="14"/>
      <c r="CY393" s="14"/>
      <c r="CZ393" s="14"/>
      <c r="DA393" s="14"/>
      <c r="DB393" s="14"/>
      <c r="DC393" s="14"/>
      <c r="DD393" s="14"/>
      <c r="DE393" s="14"/>
      <c r="DF393" s="14"/>
      <c r="DG393" s="14"/>
      <c r="DH393" s="14"/>
      <c r="DI393" s="14"/>
      <c r="DJ393" s="14"/>
    </row>
    <row r="394" spans="4:114" x14ac:dyDescent="0.25">
      <c r="D394" s="14"/>
      <c r="E394" s="15"/>
      <c r="F394" s="14"/>
      <c r="G394" s="14"/>
      <c r="H394" s="14"/>
      <c r="I394" s="14"/>
      <c r="J394" s="14"/>
      <c r="K394" s="25"/>
      <c r="L394" s="34"/>
      <c r="M394" s="34"/>
      <c r="N394" s="9"/>
      <c r="O394" s="9"/>
      <c r="P394" s="9"/>
      <c r="Q394" s="9"/>
      <c r="R394" s="9"/>
      <c r="S394" s="26"/>
      <c r="T394" s="14"/>
      <c r="U394" s="14"/>
      <c r="V394" s="14"/>
      <c r="W394" s="14"/>
      <c r="X394" s="14"/>
      <c r="Y394" s="14"/>
      <c r="Z394" s="25"/>
      <c r="AA394" s="34"/>
      <c r="AB394" s="37"/>
      <c r="AC394" s="36" t="str">
        <f t="shared" si="5"/>
        <v/>
      </c>
      <c r="AD394" s="9"/>
      <c r="AE394" s="9"/>
      <c r="AF394" s="9"/>
      <c r="AG394" s="9"/>
      <c r="AH394" s="9"/>
      <c r="AI394" s="26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  <c r="BH394" s="14"/>
      <c r="BI394" s="14"/>
      <c r="BJ394" s="14"/>
      <c r="BK394" s="14"/>
      <c r="BL394" s="14"/>
      <c r="BM394" s="14"/>
      <c r="BN394" s="14"/>
      <c r="BO394" s="14"/>
      <c r="BP394" s="14"/>
      <c r="BQ394" s="14"/>
      <c r="BR394" s="14"/>
      <c r="BS394" s="14"/>
      <c r="BT394" s="14"/>
      <c r="BU394" s="14"/>
      <c r="BV394" s="14"/>
      <c r="BW394" s="14"/>
      <c r="BX394" s="14"/>
      <c r="BY394" s="14"/>
      <c r="BZ394" s="14"/>
      <c r="CA394" s="14"/>
      <c r="CB394" s="14"/>
      <c r="CC394" s="14"/>
      <c r="CD394" s="14"/>
      <c r="CE394" s="14"/>
      <c r="CF394" s="14"/>
      <c r="CG394" s="14"/>
      <c r="CH394" s="14"/>
      <c r="CI394" s="14"/>
      <c r="CJ394" s="14"/>
      <c r="CK394" s="14"/>
      <c r="CL394" s="14"/>
      <c r="CM394" s="14"/>
      <c r="CN394" s="14"/>
      <c r="CO394" s="14"/>
      <c r="CP394" s="14"/>
      <c r="CQ394" s="14"/>
      <c r="CR394" s="14"/>
      <c r="CS394" s="14"/>
      <c r="CT394" s="14"/>
      <c r="CU394" s="14"/>
      <c r="CV394" s="14"/>
      <c r="CW394" s="14"/>
      <c r="CX394" s="14"/>
      <c r="CY394" s="14"/>
      <c r="CZ394" s="14"/>
      <c r="DA394" s="14"/>
      <c r="DB394" s="14"/>
      <c r="DC394" s="14"/>
      <c r="DD394" s="14"/>
      <c r="DE394" s="14"/>
      <c r="DF394" s="14"/>
      <c r="DG394" s="14"/>
      <c r="DH394" s="14"/>
      <c r="DI394" s="14"/>
      <c r="DJ394" s="14"/>
    </row>
    <row r="395" spans="4:114" x14ac:dyDescent="0.25">
      <c r="D395" s="14"/>
      <c r="E395" s="15"/>
      <c r="F395" s="14"/>
      <c r="G395" s="14"/>
      <c r="H395" s="14"/>
      <c r="I395" s="14"/>
      <c r="J395" s="14"/>
      <c r="K395" s="25"/>
      <c r="L395" s="34"/>
      <c r="M395" s="34"/>
      <c r="N395" s="9"/>
      <c r="O395" s="9"/>
      <c r="P395" s="9"/>
      <c r="Q395" s="9"/>
      <c r="R395" s="9"/>
      <c r="S395" s="26"/>
      <c r="T395" s="14"/>
      <c r="U395" s="14"/>
      <c r="V395" s="14"/>
      <c r="W395" s="14"/>
      <c r="X395" s="14"/>
      <c r="Y395" s="14"/>
      <c r="Z395" s="25"/>
      <c r="AA395" s="34"/>
      <c r="AB395" s="37"/>
      <c r="AC395" s="36" t="str">
        <f t="shared" si="5"/>
        <v/>
      </c>
      <c r="AD395" s="9"/>
      <c r="AE395" s="9"/>
      <c r="AF395" s="9"/>
      <c r="AG395" s="9"/>
      <c r="AH395" s="9"/>
      <c r="AI395" s="26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  <c r="BH395" s="14"/>
      <c r="BI395" s="14"/>
      <c r="BJ395" s="14"/>
      <c r="BK395" s="14"/>
      <c r="BL395" s="14"/>
      <c r="BM395" s="14"/>
      <c r="BN395" s="14"/>
      <c r="BO395" s="14"/>
      <c r="BP395" s="14"/>
      <c r="BQ395" s="14"/>
      <c r="BR395" s="14"/>
      <c r="BS395" s="14"/>
      <c r="BT395" s="14"/>
      <c r="BU395" s="14"/>
      <c r="BV395" s="14"/>
      <c r="BW395" s="14"/>
      <c r="BX395" s="14"/>
      <c r="BY395" s="14"/>
      <c r="BZ395" s="14"/>
      <c r="CA395" s="14"/>
      <c r="CB395" s="14"/>
      <c r="CC395" s="14"/>
      <c r="CD395" s="14"/>
      <c r="CE395" s="14"/>
      <c r="CF395" s="14"/>
      <c r="CG395" s="14"/>
      <c r="CH395" s="14"/>
      <c r="CI395" s="14"/>
      <c r="CJ395" s="14"/>
      <c r="CK395" s="14"/>
      <c r="CL395" s="14"/>
      <c r="CM395" s="14"/>
      <c r="CN395" s="14"/>
      <c r="CO395" s="14"/>
      <c r="CP395" s="14"/>
      <c r="CQ395" s="14"/>
      <c r="CR395" s="14"/>
      <c r="CS395" s="14"/>
      <c r="CT395" s="14"/>
      <c r="CU395" s="14"/>
      <c r="CV395" s="14"/>
      <c r="CW395" s="14"/>
      <c r="CX395" s="14"/>
      <c r="CY395" s="14"/>
      <c r="CZ395" s="14"/>
      <c r="DA395" s="14"/>
      <c r="DB395" s="14"/>
      <c r="DC395" s="14"/>
      <c r="DD395" s="14"/>
      <c r="DE395" s="14"/>
      <c r="DF395" s="14"/>
      <c r="DG395" s="14"/>
      <c r="DH395" s="14"/>
      <c r="DI395" s="14"/>
      <c r="DJ395" s="14"/>
    </row>
    <row r="396" spans="4:114" x14ac:dyDescent="0.25">
      <c r="D396" s="14"/>
      <c r="E396" s="15"/>
      <c r="F396" s="14"/>
      <c r="G396" s="14"/>
      <c r="H396" s="14"/>
      <c r="I396" s="14"/>
      <c r="J396" s="14"/>
      <c r="K396" s="25"/>
      <c r="L396" s="34"/>
      <c r="M396" s="34"/>
      <c r="N396" s="9"/>
      <c r="O396" s="9"/>
      <c r="P396" s="9"/>
      <c r="Q396" s="9"/>
      <c r="R396" s="9"/>
      <c r="S396" s="26"/>
      <c r="T396" s="14"/>
      <c r="U396" s="14"/>
      <c r="V396" s="14"/>
      <c r="W396" s="14"/>
      <c r="X396" s="14"/>
      <c r="Y396" s="14"/>
      <c r="Z396" s="25"/>
      <c r="AA396" s="34"/>
      <c r="AB396" s="37"/>
      <c r="AC396" s="36" t="str">
        <f t="shared" si="5"/>
        <v/>
      </c>
      <c r="AD396" s="9"/>
      <c r="AE396" s="9"/>
      <c r="AF396" s="9"/>
      <c r="AG396" s="9"/>
      <c r="AH396" s="9"/>
      <c r="AI396" s="26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  <c r="BH396" s="14"/>
      <c r="BI396" s="14"/>
      <c r="BJ396" s="14"/>
      <c r="BK396" s="14"/>
      <c r="BL396" s="14"/>
      <c r="BM396" s="14"/>
      <c r="BN396" s="14"/>
      <c r="BO396" s="14"/>
      <c r="BP396" s="14"/>
      <c r="BQ396" s="14"/>
      <c r="BR396" s="14"/>
      <c r="BS396" s="14"/>
      <c r="BT396" s="14"/>
      <c r="BU396" s="14"/>
      <c r="BV396" s="14"/>
      <c r="BW396" s="14"/>
      <c r="BX396" s="14"/>
      <c r="BY396" s="14"/>
      <c r="BZ396" s="14"/>
      <c r="CA396" s="14"/>
      <c r="CB396" s="14"/>
      <c r="CC396" s="14"/>
      <c r="CD396" s="14"/>
      <c r="CE396" s="14"/>
      <c r="CF396" s="14"/>
      <c r="CG396" s="14"/>
      <c r="CH396" s="14"/>
      <c r="CI396" s="14"/>
      <c r="CJ396" s="14"/>
      <c r="CK396" s="14"/>
      <c r="CL396" s="14"/>
      <c r="CM396" s="14"/>
      <c r="CN396" s="14"/>
      <c r="CO396" s="14"/>
      <c r="CP396" s="14"/>
      <c r="CQ396" s="14"/>
      <c r="CR396" s="14"/>
      <c r="CS396" s="14"/>
      <c r="CT396" s="14"/>
      <c r="CU396" s="14"/>
      <c r="CV396" s="14"/>
      <c r="CW396" s="14"/>
      <c r="CX396" s="14"/>
      <c r="CY396" s="14"/>
      <c r="CZ396" s="14"/>
      <c r="DA396" s="14"/>
      <c r="DB396" s="14"/>
      <c r="DC396" s="14"/>
      <c r="DD396" s="14"/>
      <c r="DE396" s="14"/>
      <c r="DF396" s="14"/>
      <c r="DG396" s="14"/>
      <c r="DH396" s="14"/>
      <c r="DI396" s="14"/>
      <c r="DJ396" s="14"/>
    </row>
    <row r="397" spans="4:114" x14ac:dyDescent="0.25">
      <c r="D397" s="14"/>
      <c r="E397" s="15"/>
      <c r="F397" s="14"/>
      <c r="G397" s="14"/>
      <c r="H397" s="14"/>
      <c r="I397" s="14"/>
      <c r="J397" s="14"/>
      <c r="K397" s="25"/>
      <c r="L397" s="34"/>
      <c r="M397" s="34"/>
      <c r="N397" s="9"/>
      <c r="O397" s="9"/>
      <c r="P397" s="9"/>
      <c r="Q397" s="9"/>
      <c r="R397" s="9"/>
      <c r="S397" s="26"/>
      <c r="T397" s="14"/>
      <c r="U397" s="14"/>
      <c r="V397" s="14"/>
      <c r="W397" s="14"/>
      <c r="X397" s="14"/>
      <c r="Y397" s="14"/>
      <c r="Z397" s="25"/>
      <c r="AA397" s="34"/>
      <c r="AB397" s="37"/>
      <c r="AC397" s="36" t="str">
        <f t="shared" ref="AC397:AC409" si="6">IF(AB397="","",MID(AB397,14,IFERROR(FIND(", Powiat",AB397,1),FIND(", Powiat",AB397,1))-LEN("Województwo: ")-1))</f>
        <v/>
      </c>
      <c r="AD397" s="9"/>
      <c r="AE397" s="9"/>
      <c r="AF397" s="9"/>
      <c r="AG397" s="9"/>
      <c r="AH397" s="9"/>
      <c r="AI397" s="26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  <c r="BH397" s="14"/>
      <c r="BI397" s="14"/>
      <c r="BJ397" s="14"/>
      <c r="BK397" s="14"/>
      <c r="BL397" s="14"/>
      <c r="BM397" s="14"/>
      <c r="BN397" s="14"/>
      <c r="BO397" s="14"/>
      <c r="BP397" s="14"/>
      <c r="BQ397" s="14"/>
      <c r="BR397" s="14"/>
      <c r="BS397" s="14"/>
      <c r="BT397" s="14"/>
      <c r="BU397" s="14"/>
      <c r="BV397" s="14"/>
      <c r="BW397" s="14"/>
      <c r="BX397" s="14"/>
      <c r="BY397" s="14"/>
      <c r="BZ397" s="14"/>
      <c r="CA397" s="14"/>
      <c r="CB397" s="14"/>
      <c r="CC397" s="14"/>
      <c r="CD397" s="14"/>
      <c r="CE397" s="14"/>
      <c r="CF397" s="14"/>
      <c r="CG397" s="14"/>
      <c r="CH397" s="14"/>
      <c r="CI397" s="14"/>
      <c r="CJ397" s="14"/>
      <c r="CK397" s="14"/>
      <c r="CL397" s="14"/>
      <c r="CM397" s="14"/>
      <c r="CN397" s="14"/>
      <c r="CO397" s="14"/>
      <c r="CP397" s="14"/>
      <c r="CQ397" s="14"/>
      <c r="CR397" s="14"/>
      <c r="CS397" s="14"/>
      <c r="CT397" s="14"/>
      <c r="CU397" s="14"/>
      <c r="CV397" s="14"/>
      <c r="CW397" s="14"/>
      <c r="CX397" s="14"/>
      <c r="CY397" s="14"/>
      <c r="CZ397" s="14"/>
      <c r="DA397" s="14"/>
      <c r="DB397" s="14"/>
      <c r="DC397" s="14"/>
      <c r="DD397" s="14"/>
      <c r="DE397" s="14"/>
      <c r="DF397" s="14"/>
      <c r="DG397" s="14"/>
      <c r="DH397" s="14"/>
      <c r="DI397" s="14"/>
      <c r="DJ397" s="14"/>
    </row>
    <row r="398" spans="4:114" x14ac:dyDescent="0.25">
      <c r="D398" s="14"/>
      <c r="E398" s="15"/>
      <c r="F398" s="14"/>
      <c r="G398" s="14"/>
      <c r="H398" s="14"/>
      <c r="I398" s="14"/>
      <c r="J398" s="14"/>
      <c r="K398" s="25"/>
      <c r="L398" s="34"/>
      <c r="M398" s="34"/>
      <c r="N398" s="9"/>
      <c r="O398" s="9"/>
      <c r="P398" s="9"/>
      <c r="Q398" s="9"/>
      <c r="R398" s="9"/>
      <c r="S398" s="26"/>
      <c r="T398" s="14"/>
      <c r="U398" s="14"/>
      <c r="V398" s="14"/>
      <c r="W398" s="14"/>
      <c r="X398" s="14"/>
      <c r="Y398" s="14"/>
      <c r="Z398" s="25"/>
      <c r="AA398" s="34"/>
      <c r="AB398" s="37"/>
      <c r="AC398" s="36" t="str">
        <f t="shared" si="6"/>
        <v/>
      </c>
      <c r="AD398" s="9"/>
      <c r="AE398" s="9"/>
      <c r="AF398" s="9"/>
      <c r="AG398" s="9"/>
      <c r="AH398" s="9"/>
      <c r="AI398" s="26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  <c r="BH398" s="14"/>
      <c r="BI398" s="14"/>
      <c r="BJ398" s="14"/>
      <c r="BK398" s="14"/>
      <c r="BL398" s="14"/>
      <c r="BM398" s="14"/>
      <c r="BN398" s="14"/>
      <c r="BO398" s="14"/>
      <c r="BP398" s="14"/>
      <c r="BQ398" s="14"/>
      <c r="BR398" s="14"/>
      <c r="BS398" s="14"/>
      <c r="BT398" s="14"/>
      <c r="BU398" s="14"/>
      <c r="BV398" s="14"/>
      <c r="BW398" s="14"/>
      <c r="BX398" s="14"/>
      <c r="BY398" s="14"/>
      <c r="BZ398" s="14"/>
      <c r="CA398" s="14"/>
      <c r="CB398" s="14"/>
      <c r="CC398" s="14"/>
      <c r="CD398" s="14"/>
      <c r="CE398" s="14"/>
      <c r="CF398" s="14"/>
      <c r="CG398" s="14"/>
      <c r="CH398" s="14"/>
      <c r="CI398" s="14"/>
      <c r="CJ398" s="14"/>
      <c r="CK398" s="14"/>
      <c r="CL398" s="14"/>
      <c r="CM398" s="14"/>
      <c r="CN398" s="14"/>
      <c r="CO398" s="14"/>
      <c r="CP398" s="14"/>
      <c r="CQ398" s="14"/>
      <c r="CR398" s="14"/>
      <c r="CS398" s="14"/>
      <c r="CT398" s="14"/>
      <c r="CU398" s="14"/>
      <c r="CV398" s="14"/>
      <c r="CW398" s="14"/>
      <c r="CX398" s="14"/>
      <c r="CY398" s="14"/>
      <c r="CZ398" s="14"/>
      <c r="DA398" s="14"/>
      <c r="DB398" s="14"/>
      <c r="DC398" s="14"/>
      <c r="DD398" s="14"/>
      <c r="DE398" s="14"/>
      <c r="DF398" s="14"/>
      <c r="DG398" s="14"/>
      <c r="DH398" s="14"/>
      <c r="DI398" s="14"/>
      <c r="DJ398" s="14"/>
    </row>
    <row r="399" spans="4:114" x14ac:dyDescent="0.25">
      <c r="D399" s="14"/>
      <c r="E399" s="15"/>
      <c r="F399" s="14"/>
      <c r="G399" s="14"/>
      <c r="H399" s="14"/>
      <c r="I399" s="14"/>
      <c r="J399" s="14"/>
      <c r="K399" s="25"/>
      <c r="L399" s="34"/>
      <c r="M399" s="34"/>
      <c r="N399" s="9"/>
      <c r="O399" s="9"/>
      <c r="P399" s="9"/>
      <c r="Q399" s="9"/>
      <c r="R399" s="9"/>
      <c r="S399" s="26"/>
      <c r="T399" s="14"/>
      <c r="U399" s="14"/>
      <c r="V399" s="14"/>
      <c r="W399" s="14"/>
      <c r="X399" s="14"/>
      <c r="Y399" s="14"/>
      <c r="Z399" s="25"/>
      <c r="AA399" s="34"/>
      <c r="AB399" s="37"/>
      <c r="AC399" s="36" t="str">
        <f t="shared" si="6"/>
        <v/>
      </c>
      <c r="AD399" s="9"/>
      <c r="AE399" s="9"/>
      <c r="AF399" s="9"/>
      <c r="AG399" s="9"/>
      <c r="AH399" s="9"/>
      <c r="AI399" s="26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  <c r="BH399" s="14"/>
      <c r="BI399" s="14"/>
      <c r="BJ399" s="14"/>
      <c r="BK399" s="14"/>
      <c r="BL399" s="14"/>
      <c r="BM399" s="14"/>
      <c r="BN399" s="14"/>
      <c r="BO399" s="14"/>
      <c r="BP399" s="14"/>
      <c r="BQ399" s="14"/>
      <c r="BR399" s="14"/>
      <c r="BS399" s="14"/>
      <c r="BT399" s="14"/>
      <c r="BU399" s="14"/>
      <c r="BV399" s="14"/>
      <c r="BW399" s="14"/>
      <c r="BX399" s="14"/>
      <c r="BY399" s="14"/>
      <c r="BZ399" s="14"/>
      <c r="CA399" s="14"/>
      <c r="CB399" s="14"/>
      <c r="CC399" s="14"/>
      <c r="CD399" s="14"/>
      <c r="CE399" s="14"/>
      <c r="CF399" s="14"/>
      <c r="CG399" s="14"/>
      <c r="CH399" s="14"/>
      <c r="CI399" s="14"/>
      <c r="CJ399" s="14"/>
      <c r="CK399" s="14"/>
      <c r="CL399" s="14"/>
      <c r="CM399" s="14"/>
      <c r="CN399" s="14"/>
      <c r="CO399" s="14"/>
      <c r="CP399" s="14"/>
      <c r="CQ399" s="14"/>
      <c r="CR399" s="14"/>
      <c r="CS399" s="14"/>
      <c r="CT399" s="14"/>
      <c r="CU399" s="14"/>
      <c r="CV399" s="14"/>
      <c r="CW399" s="14"/>
      <c r="CX399" s="14"/>
      <c r="CY399" s="14"/>
      <c r="CZ399" s="14"/>
      <c r="DA399" s="14"/>
      <c r="DB399" s="14"/>
      <c r="DC399" s="14"/>
      <c r="DD399" s="14"/>
      <c r="DE399" s="14"/>
      <c r="DF399" s="14"/>
      <c r="DG399" s="14"/>
      <c r="DH399" s="14"/>
      <c r="DI399" s="14"/>
      <c r="DJ399" s="14"/>
    </row>
    <row r="400" spans="4:114" x14ac:dyDescent="0.25">
      <c r="D400" s="14"/>
      <c r="E400" s="15"/>
      <c r="F400" s="14"/>
      <c r="G400" s="14"/>
      <c r="H400" s="14"/>
      <c r="I400" s="14"/>
      <c r="J400" s="14"/>
      <c r="K400" s="25"/>
      <c r="L400" s="34"/>
      <c r="M400" s="34"/>
      <c r="N400" s="9"/>
      <c r="O400" s="9"/>
      <c r="P400" s="9"/>
      <c r="Q400" s="9"/>
      <c r="R400" s="9"/>
      <c r="S400" s="26"/>
      <c r="T400" s="14"/>
      <c r="U400" s="14"/>
      <c r="V400" s="14"/>
      <c r="W400" s="14"/>
      <c r="X400" s="14"/>
      <c r="Y400" s="14"/>
      <c r="Z400" s="25"/>
      <c r="AA400" s="34"/>
      <c r="AB400" s="37"/>
      <c r="AC400" s="36" t="str">
        <f t="shared" si="6"/>
        <v/>
      </c>
      <c r="AD400" s="9"/>
      <c r="AE400" s="9"/>
      <c r="AF400" s="9"/>
      <c r="AG400" s="9"/>
      <c r="AH400" s="9"/>
      <c r="AI400" s="26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  <c r="BH400" s="14"/>
      <c r="BI400" s="14"/>
      <c r="BJ400" s="14"/>
      <c r="BK400" s="14"/>
      <c r="BL400" s="14"/>
      <c r="BM400" s="14"/>
      <c r="BN400" s="14"/>
      <c r="BO400" s="14"/>
      <c r="BP400" s="14"/>
      <c r="BQ400" s="14"/>
      <c r="BR400" s="14"/>
      <c r="BS400" s="14"/>
      <c r="BT400" s="14"/>
      <c r="BU400" s="14"/>
      <c r="BV400" s="14"/>
      <c r="BW400" s="14"/>
      <c r="BX400" s="14"/>
      <c r="BY400" s="14"/>
      <c r="BZ400" s="14"/>
      <c r="CA400" s="14"/>
      <c r="CB400" s="14"/>
      <c r="CC400" s="14"/>
      <c r="CD400" s="14"/>
      <c r="CE400" s="14"/>
      <c r="CF400" s="14"/>
      <c r="CG400" s="14"/>
      <c r="CH400" s="14"/>
      <c r="CI400" s="14"/>
      <c r="CJ400" s="14"/>
      <c r="CK400" s="14"/>
      <c r="CL400" s="14"/>
      <c r="CM400" s="14"/>
      <c r="CN400" s="14"/>
      <c r="CO400" s="14"/>
      <c r="CP400" s="14"/>
      <c r="CQ400" s="14"/>
      <c r="CR400" s="14"/>
      <c r="CS400" s="14"/>
      <c r="CT400" s="14"/>
      <c r="CU400" s="14"/>
      <c r="CV400" s="14"/>
      <c r="CW400" s="14"/>
      <c r="CX400" s="14"/>
      <c r="CY400" s="14"/>
      <c r="CZ400" s="14"/>
      <c r="DA400" s="14"/>
      <c r="DB400" s="14"/>
      <c r="DC400" s="14"/>
      <c r="DD400" s="14"/>
      <c r="DE400" s="14"/>
      <c r="DF400" s="14"/>
      <c r="DG400" s="14"/>
      <c r="DH400" s="14"/>
      <c r="DI400" s="14"/>
      <c r="DJ400" s="14"/>
    </row>
    <row r="401" spans="4:114" x14ac:dyDescent="0.25">
      <c r="D401" s="14"/>
      <c r="E401" s="15"/>
      <c r="F401" s="14"/>
      <c r="G401" s="14"/>
      <c r="H401" s="14"/>
      <c r="I401" s="14"/>
      <c r="J401" s="14"/>
      <c r="K401" s="25"/>
      <c r="L401" s="34"/>
      <c r="M401" s="34"/>
      <c r="N401" s="9"/>
      <c r="O401" s="9"/>
      <c r="P401" s="9"/>
      <c r="Q401" s="9"/>
      <c r="R401" s="9"/>
      <c r="S401" s="26"/>
      <c r="T401" s="14"/>
      <c r="U401" s="14"/>
      <c r="V401" s="14"/>
      <c r="W401" s="14"/>
      <c r="X401" s="14"/>
      <c r="Y401" s="14"/>
      <c r="Z401" s="25"/>
      <c r="AA401" s="34"/>
      <c r="AB401" s="37"/>
      <c r="AC401" s="36" t="str">
        <f t="shared" si="6"/>
        <v/>
      </c>
      <c r="AD401" s="9"/>
      <c r="AE401" s="9"/>
      <c r="AF401" s="9"/>
      <c r="AG401" s="9"/>
      <c r="AH401" s="9"/>
      <c r="AI401" s="26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  <c r="BH401" s="14"/>
      <c r="BI401" s="14"/>
      <c r="BJ401" s="14"/>
      <c r="BK401" s="14"/>
      <c r="BL401" s="14"/>
      <c r="BM401" s="14"/>
      <c r="BN401" s="14"/>
      <c r="BO401" s="14"/>
      <c r="BP401" s="14"/>
      <c r="BQ401" s="14"/>
      <c r="BR401" s="14"/>
      <c r="BS401" s="14"/>
      <c r="BT401" s="14"/>
      <c r="BU401" s="14"/>
      <c r="BV401" s="14"/>
      <c r="BW401" s="14"/>
      <c r="BX401" s="14"/>
      <c r="BY401" s="14"/>
      <c r="BZ401" s="14"/>
      <c r="CA401" s="14"/>
      <c r="CB401" s="14"/>
      <c r="CC401" s="14"/>
      <c r="CD401" s="14"/>
      <c r="CE401" s="14"/>
      <c r="CF401" s="14"/>
      <c r="CG401" s="14"/>
      <c r="CH401" s="14"/>
      <c r="CI401" s="14"/>
      <c r="CJ401" s="14"/>
      <c r="CK401" s="14"/>
      <c r="CL401" s="14"/>
      <c r="CM401" s="14"/>
      <c r="CN401" s="14"/>
      <c r="CO401" s="14"/>
      <c r="CP401" s="14"/>
      <c r="CQ401" s="14"/>
      <c r="CR401" s="14"/>
      <c r="CS401" s="14"/>
      <c r="CT401" s="14"/>
      <c r="CU401" s="14"/>
      <c r="CV401" s="14"/>
      <c r="CW401" s="14"/>
      <c r="CX401" s="14"/>
      <c r="CY401" s="14"/>
      <c r="CZ401" s="14"/>
      <c r="DA401" s="14"/>
      <c r="DB401" s="14"/>
      <c r="DC401" s="14"/>
      <c r="DD401" s="14"/>
      <c r="DE401" s="14"/>
      <c r="DF401" s="14"/>
      <c r="DG401" s="14"/>
      <c r="DH401" s="14"/>
      <c r="DI401" s="14"/>
      <c r="DJ401" s="14"/>
    </row>
    <row r="402" spans="4:114" x14ac:dyDescent="0.25">
      <c r="D402" s="14"/>
      <c r="E402" s="15"/>
      <c r="F402" s="14"/>
      <c r="G402" s="14"/>
      <c r="H402" s="14"/>
      <c r="I402" s="14"/>
      <c r="J402" s="14"/>
      <c r="K402" s="25"/>
      <c r="L402" s="34"/>
      <c r="M402" s="34"/>
      <c r="N402" s="9"/>
      <c r="O402" s="9"/>
      <c r="P402" s="9"/>
      <c r="Q402" s="9"/>
      <c r="R402" s="9"/>
      <c r="S402" s="26"/>
      <c r="T402" s="14"/>
      <c r="U402" s="14"/>
      <c r="V402" s="14"/>
      <c r="W402" s="14"/>
      <c r="X402" s="14"/>
      <c r="Y402" s="14"/>
      <c r="Z402" s="25"/>
      <c r="AA402" s="34"/>
      <c r="AB402" s="37"/>
      <c r="AC402" s="36" t="str">
        <f t="shared" si="6"/>
        <v/>
      </c>
      <c r="AD402" s="9"/>
      <c r="AE402" s="9"/>
      <c r="AF402" s="9"/>
      <c r="AG402" s="9"/>
      <c r="AH402" s="9"/>
      <c r="AI402" s="26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  <c r="BH402" s="14"/>
      <c r="BI402" s="14"/>
      <c r="BJ402" s="14"/>
      <c r="BK402" s="14"/>
      <c r="BL402" s="14"/>
      <c r="BM402" s="14"/>
      <c r="BN402" s="14"/>
      <c r="BO402" s="14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14"/>
      <c r="CC402" s="14"/>
      <c r="CD402" s="14"/>
      <c r="CE402" s="14"/>
      <c r="CF402" s="14"/>
      <c r="CG402" s="14"/>
      <c r="CH402" s="14"/>
      <c r="CI402" s="14"/>
      <c r="CJ402" s="14"/>
      <c r="CK402" s="14"/>
      <c r="CL402" s="14"/>
      <c r="CM402" s="14"/>
      <c r="CN402" s="14"/>
      <c r="CO402" s="14"/>
      <c r="CP402" s="14"/>
      <c r="CQ402" s="14"/>
      <c r="CR402" s="14"/>
      <c r="CS402" s="14"/>
      <c r="CT402" s="14"/>
      <c r="CU402" s="14"/>
      <c r="CV402" s="14"/>
      <c r="CW402" s="14"/>
      <c r="CX402" s="14"/>
      <c r="CY402" s="14"/>
      <c r="CZ402" s="14"/>
      <c r="DA402" s="14"/>
      <c r="DB402" s="14"/>
      <c r="DC402" s="14"/>
      <c r="DD402" s="14"/>
      <c r="DE402" s="14"/>
      <c r="DF402" s="14"/>
      <c r="DG402" s="14"/>
      <c r="DH402" s="14"/>
      <c r="DI402" s="14"/>
      <c r="DJ402" s="14"/>
    </row>
    <row r="403" spans="4:114" x14ac:dyDescent="0.25">
      <c r="D403" s="14"/>
      <c r="E403" s="15"/>
      <c r="F403" s="14"/>
      <c r="G403" s="14"/>
      <c r="H403" s="14"/>
      <c r="I403" s="14"/>
      <c r="J403" s="14"/>
      <c r="K403" s="25"/>
      <c r="L403" s="34"/>
      <c r="M403" s="34"/>
      <c r="N403" s="9"/>
      <c r="O403" s="9"/>
      <c r="P403" s="9"/>
      <c r="Q403" s="9"/>
      <c r="R403" s="9"/>
      <c r="S403" s="26"/>
      <c r="T403" s="14"/>
      <c r="U403" s="14"/>
      <c r="V403" s="14"/>
      <c r="W403" s="14"/>
      <c r="X403" s="14"/>
      <c r="Y403" s="14"/>
      <c r="Z403" s="25"/>
      <c r="AA403" s="34"/>
      <c r="AB403" s="37"/>
      <c r="AC403" s="36" t="str">
        <f t="shared" si="6"/>
        <v/>
      </c>
      <c r="AD403" s="9"/>
      <c r="AE403" s="9"/>
      <c r="AF403" s="9"/>
      <c r="AG403" s="9"/>
      <c r="AH403" s="9"/>
      <c r="AI403" s="26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  <c r="BH403" s="14"/>
      <c r="BI403" s="14"/>
      <c r="BJ403" s="14"/>
      <c r="BK403" s="14"/>
      <c r="BL403" s="14"/>
      <c r="BM403" s="14"/>
      <c r="BN403" s="14"/>
      <c r="BO403" s="14"/>
      <c r="BP403" s="14"/>
      <c r="BQ403" s="14"/>
      <c r="BR403" s="14"/>
      <c r="BS403" s="14"/>
      <c r="BT403" s="14"/>
      <c r="BU403" s="14"/>
      <c r="BV403" s="14"/>
      <c r="BW403" s="14"/>
      <c r="BX403" s="14"/>
      <c r="BY403" s="14"/>
      <c r="BZ403" s="14"/>
      <c r="CA403" s="14"/>
      <c r="CB403" s="14"/>
      <c r="CC403" s="14"/>
      <c r="CD403" s="14"/>
      <c r="CE403" s="14"/>
      <c r="CF403" s="14"/>
      <c r="CG403" s="14"/>
      <c r="CH403" s="14"/>
      <c r="CI403" s="14"/>
      <c r="CJ403" s="14"/>
      <c r="CK403" s="14"/>
      <c r="CL403" s="14"/>
      <c r="CM403" s="14"/>
      <c r="CN403" s="14"/>
      <c r="CO403" s="14"/>
      <c r="CP403" s="14"/>
      <c r="CQ403" s="14"/>
      <c r="CR403" s="14"/>
      <c r="CS403" s="14"/>
      <c r="CT403" s="14"/>
      <c r="CU403" s="14"/>
      <c r="CV403" s="14"/>
      <c r="CW403" s="14"/>
      <c r="CX403" s="14"/>
      <c r="CY403" s="14"/>
      <c r="CZ403" s="14"/>
      <c r="DA403" s="14"/>
      <c r="DB403" s="14"/>
      <c r="DC403" s="14"/>
      <c r="DD403" s="14"/>
      <c r="DE403" s="14"/>
      <c r="DF403" s="14"/>
      <c r="DG403" s="14"/>
      <c r="DH403" s="14"/>
      <c r="DI403" s="14"/>
      <c r="DJ403" s="14"/>
    </row>
    <row r="404" spans="4:114" x14ac:dyDescent="0.25">
      <c r="D404" s="14"/>
      <c r="E404" s="15"/>
      <c r="F404" s="14"/>
      <c r="G404" s="14"/>
      <c r="H404" s="14"/>
      <c r="I404" s="14"/>
      <c r="J404" s="14"/>
      <c r="K404" s="25"/>
      <c r="L404" s="34"/>
      <c r="M404" s="34"/>
      <c r="N404" s="9"/>
      <c r="O404" s="9"/>
      <c r="P404" s="9"/>
      <c r="Q404" s="9"/>
      <c r="R404" s="9"/>
      <c r="S404" s="26"/>
      <c r="T404" s="14"/>
      <c r="U404" s="14"/>
      <c r="V404" s="14"/>
      <c r="W404" s="14"/>
      <c r="X404" s="14"/>
      <c r="Y404" s="14"/>
      <c r="Z404" s="25"/>
      <c r="AA404" s="34"/>
      <c r="AB404" s="37"/>
      <c r="AC404" s="36" t="str">
        <f t="shared" si="6"/>
        <v/>
      </c>
      <c r="AD404" s="9"/>
      <c r="AE404" s="9"/>
      <c r="AF404" s="9"/>
      <c r="AG404" s="9"/>
      <c r="AH404" s="9"/>
      <c r="AI404" s="26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  <c r="BH404" s="14"/>
      <c r="BI404" s="14"/>
      <c r="BJ404" s="14"/>
      <c r="BK404" s="14"/>
      <c r="BL404" s="14"/>
      <c r="BM404" s="14"/>
      <c r="BN404" s="14"/>
      <c r="BO404" s="14"/>
      <c r="BP404" s="14"/>
      <c r="BQ404" s="14"/>
      <c r="BR404" s="14"/>
      <c r="BS404" s="14"/>
      <c r="BT404" s="14"/>
      <c r="BU404" s="14"/>
      <c r="BV404" s="14"/>
      <c r="BW404" s="14"/>
      <c r="BX404" s="14"/>
      <c r="BY404" s="14"/>
      <c r="BZ404" s="14"/>
      <c r="CA404" s="14"/>
      <c r="CB404" s="14"/>
      <c r="CC404" s="14"/>
      <c r="CD404" s="14"/>
      <c r="CE404" s="14"/>
      <c r="CF404" s="14"/>
      <c r="CG404" s="14"/>
      <c r="CH404" s="14"/>
      <c r="CI404" s="14"/>
      <c r="CJ404" s="14"/>
      <c r="CK404" s="14"/>
      <c r="CL404" s="14"/>
      <c r="CM404" s="14"/>
      <c r="CN404" s="14"/>
      <c r="CO404" s="14"/>
      <c r="CP404" s="14"/>
      <c r="CQ404" s="14"/>
      <c r="CR404" s="14"/>
      <c r="CS404" s="14"/>
      <c r="CT404" s="14"/>
      <c r="CU404" s="14"/>
      <c r="CV404" s="14"/>
      <c r="CW404" s="14"/>
      <c r="CX404" s="14"/>
      <c r="CY404" s="14"/>
      <c r="CZ404" s="14"/>
      <c r="DA404" s="14"/>
      <c r="DB404" s="14"/>
      <c r="DC404" s="14"/>
      <c r="DD404" s="14"/>
      <c r="DE404" s="14"/>
      <c r="DF404" s="14"/>
      <c r="DG404" s="14"/>
      <c r="DH404" s="14"/>
      <c r="DI404" s="14"/>
      <c r="DJ404" s="14"/>
    </row>
    <row r="405" spans="4:114" x14ac:dyDescent="0.25">
      <c r="D405" s="14"/>
      <c r="E405" s="15"/>
      <c r="F405" s="14"/>
      <c r="G405" s="14"/>
      <c r="H405" s="14"/>
      <c r="I405" s="14"/>
      <c r="J405" s="14"/>
      <c r="K405" s="25"/>
      <c r="L405" s="34"/>
      <c r="M405" s="34"/>
      <c r="N405" s="9"/>
      <c r="O405" s="9"/>
      <c r="P405" s="9"/>
      <c r="Q405" s="9"/>
      <c r="R405" s="9"/>
      <c r="S405" s="26"/>
      <c r="T405" s="14"/>
      <c r="U405" s="14"/>
      <c r="V405" s="14"/>
      <c r="W405" s="14"/>
      <c r="X405" s="14"/>
      <c r="Y405" s="14"/>
      <c r="Z405" s="25"/>
      <c r="AA405" s="34"/>
      <c r="AB405" s="37"/>
      <c r="AC405" s="36" t="str">
        <f t="shared" si="6"/>
        <v/>
      </c>
      <c r="AD405" s="9"/>
      <c r="AE405" s="9"/>
      <c r="AF405" s="9"/>
      <c r="AG405" s="9"/>
      <c r="AH405" s="9"/>
      <c r="AI405" s="26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  <c r="BH405" s="14"/>
      <c r="BI405" s="14"/>
      <c r="BJ405" s="14"/>
      <c r="BK405" s="14"/>
      <c r="BL405" s="14"/>
      <c r="BM405" s="14"/>
      <c r="BN405" s="14"/>
      <c r="BO405" s="14"/>
      <c r="BP405" s="14"/>
      <c r="BQ405" s="14"/>
      <c r="BR405" s="14"/>
      <c r="BS405" s="14"/>
      <c r="BT405" s="14"/>
      <c r="BU405" s="14"/>
      <c r="BV405" s="14"/>
      <c r="BW405" s="14"/>
      <c r="BX405" s="14"/>
      <c r="BY405" s="14"/>
      <c r="BZ405" s="14"/>
      <c r="CA405" s="14"/>
      <c r="CB405" s="14"/>
      <c r="CC405" s="14"/>
      <c r="CD405" s="14"/>
      <c r="CE405" s="14"/>
      <c r="CF405" s="14"/>
      <c r="CG405" s="14"/>
      <c r="CH405" s="14"/>
      <c r="CI405" s="14"/>
      <c r="CJ405" s="14"/>
      <c r="CK405" s="14"/>
      <c r="CL405" s="14"/>
      <c r="CM405" s="14"/>
      <c r="CN405" s="14"/>
      <c r="CO405" s="14"/>
      <c r="CP405" s="14"/>
      <c r="CQ405" s="14"/>
      <c r="CR405" s="14"/>
      <c r="CS405" s="14"/>
      <c r="CT405" s="14"/>
      <c r="CU405" s="14"/>
      <c r="CV405" s="14"/>
      <c r="CW405" s="14"/>
      <c r="CX405" s="14"/>
      <c r="CY405" s="14"/>
      <c r="CZ405" s="14"/>
      <c r="DA405" s="14"/>
      <c r="DB405" s="14"/>
      <c r="DC405" s="14"/>
      <c r="DD405" s="14"/>
      <c r="DE405" s="14"/>
      <c r="DF405" s="14"/>
      <c r="DG405" s="14"/>
      <c r="DH405" s="14"/>
      <c r="DI405" s="14"/>
      <c r="DJ405" s="14"/>
    </row>
    <row r="406" spans="4:114" x14ac:dyDescent="0.25">
      <c r="D406" s="14"/>
      <c r="E406" s="15"/>
      <c r="F406" s="14"/>
      <c r="G406" s="14"/>
      <c r="H406" s="14"/>
      <c r="I406" s="14"/>
      <c r="J406" s="14"/>
      <c r="K406" s="25"/>
      <c r="L406" s="34"/>
      <c r="M406" s="34"/>
      <c r="N406" s="9"/>
      <c r="O406" s="9"/>
      <c r="P406" s="9"/>
      <c r="Q406" s="9"/>
      <c r="R406" s="9"/>
      <c r="S406" s="26"/>
      <c r="T406" s="14"/>
      <c r="U406" s="14"/>
      <c r="V406" s="14"/>
      <c r="W406" s="14"/>
      <c r="X406" s="14"/>
      <c r="Y406" s="14"/>
      <c r="Z406" s="25"/>
      <c r="AA406" s="34"/>
      <c r="AB406" s="37"/>
      <c r="AC406" s="36" t="str">
        <f t="shared" si="6"/>
        <v/>
      </c>
      <c r="AD406" s="9"/>
      <c r="AE406" s="9"/>
      <c r="AF406" s="9"/>
      <c r="AG406" s="9"/>
      <c r="AH406" s="9"/>
      <c r="AI406" s="26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  <c r="BH406" s="14"/>
      <c r="BI406" s="14"/>
      <c r="BJ406" s="14"/>
      <c r="BK406" s="14"/>
      <c r="BL406" s="14"/>
      <c r="BM406" s="14"/>
      <c r="BN406" s="14"/>
      <c r="BO406" s="14"/>
      <c r="BP406" s="14"/>
      <c r="BQ406" s="14"/>
      <c r="BR406" s="14"/>
      <c r="BS406" s="14"/>
      <c r="BT406" s="14"/>
      <c r="BU406" s="14"/>
      <c r="BV406" s="14"/>
      <c r="BW406" s="14"/>
      <c r="BX406" s="14"/>
      <c r="BY406" s="14"/>
      <c r="BZ406" s="14"/>
      <c r="CA406" s="14"/>
      <c r="CB406" s="14"/>
      <c r="CC406" s="14"/>
      <c r="CD406" s="14"/>
      <c r="CE406" s="14"/>
      <c r="CF406" s="14"/>
      <c r="CG406" s="14"/>
      <c r="CH406" s="14"/>
      <c r="CI406" s="14"/>
      <c r="CJ406" s="14"/>
      <c r="CK406" s="14"/>
      <c r="CL406" s="14"/>
      <c r="CM406" s="14"/>
      <c r="CN406" s="14"/>
      <c r="CO406" s="14"/>
      <c r="CP406" s="14"/>
      <c r="CQ406" s="14"/>
      <c r="CR406" s="14"/>
      <c r="CS406" s="14"/>
      <c r="CT406" s="14"/>
      <c r="CU406" s="14"/>
      <c r="CV406" s="14"/>
      <c r="CW406" s="14"/>
      <c r="CX406" s="14"/>
      <c r="CY406" s="14"/>
      <c r="CZ406" s="14"/>
      <c r="DA406" s="14"/>
      <c r="DB406" s="14"/>
      <c r="DC406" s="14"/>
      <c r="DD406" s="14"/>
      <c r="DE406" s="14"/>
      <c r="DF406" s="14"/>
      <c r="DG406" s="14"/>
      <c r="DH406" s="14"/>
      <c r="DI406" s="14"/>
      <c r="DJ406" s="14"/>
    </row>
    <row r="407" spans="4:114" x14ac:dyDescent="0.25">
      <c r="D407" s="14"/>
      <c r="E407" s="15"/>
      <c r="F407" s="14"/>
      <c r="G407" s="14"/>
      <c r="H407" s="14"/>
      <c r="I407" s="14"/>
      <c r="J407" s="14"/>
      <c r="K407" s="25"/>
      <c r="L407" s="34"/>
      <c r="M407" s="34"/>
      <c r="N407" s="9"/>
      <c r="O407" s="9"/>
      <c r="P407" s="9"/>
      <c r="Q407" s="9"/>
      <c r="R407" s="9"/>
      <c r="S407" s="26"/>
      <c r="T407" s="14"/>
      <c r="U407" s="14"/>
      <c r="V407" s="14"/>
      <c r="W407" s="14"/>
      <c r="X407" s="14"/>
      <c r="Y407" s="14"/>
      <c r="Z407" s="25"/>
      <c r="AA407" s="34"/>
      <c r="AB407" s="37"/>
      <c r="AC407" s="36" t="str">
        <f t="shared" si="6"/>
        <v/>
      </c>
      <c r="AD407" s="9"/>
      <c r="AE407" s="9"/>
      <c r="AF407" s="9"/>
      <c r="AG407" s="9"/>
      <c r="AH407" s="9"/>
      <c r="AI407" s="26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  <c r="BH407" s="14"/>
      <c r="BI407" s="14"/>
      <c r="BJ407" s="14"/>
      <c r="BK407" s="14"/>
      <c r="BL407" s="14"/>
      <c r="BM407" s="14"/>
      <c r="BN407" s="14"/>
      <c r="BO407" s="14"/>
      <c r="BP407" s="14"/>
      <c r="BQ407" s="14"/>
      <c r="BR407" s="14"/>
      <c r="BS407" s="14"/>
      <c r="BT407" s="14"/>
      <c r="BU407" s="14"/>
      <c r="BV407" s="14"/>
      <c r="BW407" s="14"/>
      <c r="BX407" s="14"/>
      <c r="BY407" s="14"/>
      <c r="BZ407" s="14"/>
      <c r="CA407" s="14"/>
      <c r="CB407" s="14"/>
      <c r="CC407" s="14"/>
      <c r="CD407" s="14"/>
      <c r="CE407" s="14"/>
      <c r="CF407" s="14"/>
      <c r="CG407" s="14"/>
      <c r="CH407" s="14"/>
      <c r="CI407" s="14"/>
      <c r="CJ407" s="14"/>
      <c r="CK407" s="14"/>
      <c r="CL407" s="14"/>
      <c r="CM407" s="14"/>
      <c r="CN407" s="14"/>
      <c r="CO407" s="14"/>
      <c r="CP407" s="14"/>
      <c r="CQ407" s="14"/>
      <c r="CR407" s="14"/>
      <c r="CS407" s="14"/>
      <c r="CT407" s="14"/>
      <c r="CU407" s="14"/>
      <c r="CV407" s="14"/>
      <c r="CW407" s="14"/>
      <c r="CX407" s="14"/>
      <c r="CY407" s="14"/>
      <c r="CZ407" s="14"/>
      <c r="DA407" s="14"/>
      <c r="DB407" s="14"/>
      <c r="DC407" s="14"/>
      <c r="DD407" s="14"/>
      <c r="DE407" s="14"/>
      <c r="DF407" s="14"/>
      <c r="DG407" s="14"/>
      <c r="DH407" s="14"/>
      <c r="DI407" s="14"/>
      <c r="DJ407" s="14"/>
    </row>
    <row r="408" spans="4:114" x14ac:dyDescent="0.25">
      <c r="D408" s="14"/>
      <c r="E408" s="15"/>
      <c r="F408" s="14"/>
      <c r="G408" s="14"/>
      <c r="H408" s="14"/>
      <c r="I408" s="14"/>
      <c r="J408" s="14"/>
      <c r="K408" s="25"/>
      <c r="L408" s="34"/>
      <c r="M408" s="34"/>
      <c r="N408" s="9"/>
      <c r="O408" s="9"/>
      <c r="P408" s="9"/>
      <c r="Q408" s="9"/>
      <c r="R408" s="9"/>
      <c r="S408" s="26"/>
      <c r="T408" s="14"/>
      <c r="U408" s="14"/>
      <c r="V408" s="14"/>
      <c r="W408" s="14"/>
      <c r="X408" s="14"/>
      <c r="Y408" s="14"/>
      <c r="Z408" s="25"/>
      <c r="AA408" s="34"/>
      <c r="AB408" s="37"/>
      <c r="AC408" s="36" t="str">
        <f t="shared" si="6"/>
        <v/>
      </c>
      <c r="AD408" s="9"/>
      <c r="AE408" s="9"/>
      <c r="AF408" s="9"/>
      <c r="AG408" s="9"/>
      <c r="AH408" s="9"/>
      <c r="AI408" s="26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  <c r="BH408" s="14"/>
      <c r="BI408" s="14"/>
      <c r="BJ408" s="14"/>
      <c r="BK408" s="14"/>
      <c r="BL408" s="14"/>
      <c r="BM408" s="14"/>
      <c r="BN408" s="14"/>
      <c r="BO408" s="14"/>
      <c r="BP408" s="14"/>
      <c r="BQ408" s="14"/>
      <c r="BR408" s="14"/>
      <c r="BS408" s="14"/>
      <c r="BT408" s="14"/>
      <c r="BU408" s="14"/>
      <c r="BV408" s="14"/>
      <c r="BW408" s="14"/>
      <c r="BX408" s="14"/>
      <c r="BY408" s="14"/>
      <c r="BZ408" s="14"/>
      <c r="CA408" s="14"/>
      <c r="CB408" s="14"/>
      <c r="CC408" s="14"/>
      <c r="CD408" s="14"/>
      <c r="CE408" s="14"/>
      <c r="CF408" s="14"/>
      <c r="CG408" s="14"/>
      <c r="CH408" s="14"/>
      <c r="CI408" s="14"/>
      <c r="CJ408" s="14"/>
      <c r="CK408" s="14"/>
      <c r="CL408" s="14"/>
      <c r="CM408" s="14"/>
      <c r="CN408" s="14"/>
      <c r="CO408" s="14"/>
      <c r="CP408" s="14"/>
      <c r="CQ408" s="14"/>
      <c r="CR408" s="14"/>
      <c r="CS408" s="14"/>
      <c r="CT408" s="14"/>
      <c r="CU408" s="14"/>
      <c r="CV408" s="14"/>
      <c r="CW408" s="14"/>
      <c r="CX408" s="14"/>
      <c r="CY408" s="14"/>
      <c r="CZ408" s="14"/>
      <c r="DA408" s="14"/>
      <c r="DB408" s="14"/>
      <c r="DC408" s="14"/>
      <c r="DD408" s="14"/>
      <c r="DE408" s="14"/>
      <c r="DF408" s="14"/>
      <c r="DG408" s="14"/>
      <c r="DH408" s="14"/>
      <c r="DI408" s="14"/>
      <c r="DJ408" s="14"/>
    </row>
    <row r="409" spans="4:114" x14ac:dyDescent="0.25">
      <c r="D409" s="14"/>
      <c r="E409" s="15"/>
      <c r="F409" s="14"/>
      <c r="G409" s="14"/>
      <c r="H409" s="14"/>
      <c r="I409" s="14"/>
      <c r="J409" s="14"/>
      <c r="K409" s="25"/>
      <c r="L409" s="30"/>
      <c r="M409" s="30"/>
      <c r="N409" s="9"/>
      <c r="O409" s="9"/>
      <c r="P409" s="9"/>
      <c r="Q409" s="9"/>
      <c r="R409" s="9"/>
      <c r="S409" s="26"/>
      <c r="T409" s="14"/>
      <c r="U409" s="14"/>
      <c r="V409" s="14"/>
      <c r="W409" s="14"/>
      <c r="X409" s="14"/>
      <c r="Y409" s="14"/>
      <c r="Z409" s="25"/>
      <c r="AA409" s="34"/>
      <c r="AB409" s="37"/>
      <c r="AC409" s="36" t="str">
        <f t="shared" si="6"/>
        <v/>
      </c>
      <c r="AD409" s="9"/>
      <c r="AE409" s="9"/>
      <c r="AF409" s="9"/>
      <c r="AG409" s="9"/>
      <c r="AH409" s="9"/>
      <c r="AI409" s="26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  <c r="BH409" s="14"/>
      <c r="BI409" s="14"/>
      <c r="BJ409" s="14"/>
      <c r="BK409" s="14"/>
      <c r="BL409" s="14"/>
      <c r="BM409" s="14"/>
      <c r="BN409" s="14"/>
      <c r="BO409" s="14"/>
      <c r="BP409" s="14"/>
      <c r="BQ409" s="14"/>
      <c r="BR409" s="14"/>
      <c r="BS409" s="14"/>
      <c r="BT409" s="14"/>
      <c r="BU409" s="14"/>
      <c r="BV409" s="14"/>
      <c r="BW409" s="14"/>
      <c r="BX409" s="14"/>
      <c r="BY409" s="14"/>
      <c r="BZ409" s="14"/>
      <c r="CA409" s="14"/>
      <c r="CB409" s="14"/>
      <c r="CC409" s="14"/>
      <c r="CD409" s="14"/>
      <c r="CE409" s="14"/>
      <c r="CF409" s="14"/>
      <c r="CG409" s="14"/>
      <c r="CH409" s="14"/>
      <c r="CI409" s="14"/>
      <c r="CJ409" s="14"/>
      <c r="CK409" s="14"/>
      <c r="CL409" s="14"/>
      <c r="CM409" s="14"/>
      <c r="CN409" s="14"/>
      <c r="CO409" s="14"/>
      <c r="CP409" s="14"/>
      <c r="CQ409" s="14"/>
      <c r="CR409" s="14"/>
      <c r="CS409" s="14"/>
      <c r="CT409" s="14"/>
      <c r="CU409" s="14"/>
      <c r="CV409" s="14"/>
      <c r="CW409" s="14"/>
      <c r="CX409" s="14"/>
      <c r="CY409" s="14"/>
      <c r="CZ409" s="14"/>
      <c r="DA409" s="14"/>
      <c r="DB409" s="14"/>
      <c r="DC409" s="14"/>
      <c r="DD409" s="14"/>
      <c r="DE409" s="14"/>
      <c r="DF409" s="14"/>
      <c r="DG409" s="14"/>
      <c r="DH409" s="14"/>
      <c r="DI409" s="14"/>
      <c r="DJ409" s="14"/>
    </row>
  </sheetData>
  <sheetProtection sheet="1" objects="1" scenarios="1"/>
  <mergeCells count="6">
    <mergeCell ref="AT19:AW21"/>
    <mergeCell ref="AQ19:AS21"/>
    <mergeCell ref="O13:R14"/>
    <mergeCell ref="AE13:AH14"/>
    <mergeCell ref="AT12:AU12"/>
    <mergeCell ref="AT14:AW16"/>
  </mergeCells>
  <conditionalFormatting sqref="L12:L500">
    <cfRule type="expression" dxfId="2" priority="3">
      <formula>AND($L12&lt;&gt;"",$L11="")</formula>
    </cfRule>
  </conditionalFormatting>
  <conditionalFormatting sqref="AA12:AC409">
    <cfRule type="expression" dxfId="1" priority="2">
      <formula>AND($AA12&lt;&gt;"",$AA11="")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opBtn_alternativeNFolder">
          <controlPr defaultSize="0" autoLine="0" r:id="rId4">
            <anchor moveWithCells="1" sizeWithCells="1">
              <from>
                <xdr:col>41</xdr:col>
                <xdr:colOff>561975</xdr:colOff>
                <xdr:row>25</xdr:row>
                <xdr:rowOff>19050</xdr:rowOff>
              </from>
              <to>
                <xdr:col>46</xdr:col>
                <xdr:colOff>409575</xdr:colOff>
                <xdr:row>26</xdr:row>
                <xdr:rowOff>95250</xdr:rowOff>
              </to>
            </anchor>
          </controlPr>
        </control>
      </mc:Choice>
      <mc:Fallback>
        <control shapeId="7175" r:id="rId3" name="opBtn_alternativeNFolder"/>
      </mc:Fallback>
    </mc:AlternateContent>
    <mc:AlternateContent xmlns:mc="http://schemas.openxmlformats.org/markup-compatibility/2006">
      <mc:Choice Requires="x14">
        <control shapeId="7174" r:id="rId5" name="opBtn_automaticFolder">
          <controlPr defaultSize="0" autoLine="0" r:id="rId6">
            <anchor moveWithCells="1" sizeWithCells="1">
              <from>
                <xdr:col>41</xdr:col>
                <xdr:colOff>561975</xdr:colOff>
                <xdr:row>22</xdr:row>
                <xdr:rowOff>161925</xdr:rowOff>
              </from>
              <to>
                <xdr:col>45</xdr:col>
                <xdr:colOff>447675</xdr:colOff>
                <xdr:row>24</xdr:row>
                <xdr:rowOff>85725</xdr:rowOff>
              </to>
            </anchor>
          </controlPr>
        </control>
      </mc:Choice>
      <mc:Fallback>
        <control shapeId="7174" r:id="rId5" name="opBtn_automaticFolder"/>
      </mc:Fallback>
    </mc:AlternateContent>
    <mc:AlternateContent xmlns:mc="http://schemas.openxmlformats.org/markup-compatibility/2006">
      <mc:Choice Requires="x14">
        <control shapeId="7171" r:id="rId7" name="cBx_automatCopyFileWhenLoggin">
          <controlPr defaultSize="0" autoLine="0" r:id="rId8">
            <anchor moveWithCells="1" sizeWithCells="1">
              <from>
                <xdr:col>41</xdr:col>
                <xdr:colOff>390525</xdr:colOff>
                <xdr:row>6</xdr:row>
                <xdr:rowOff>161925</xdr:rowOff>
              </from>
              <to>
                <xdr:col>47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7171" r:id="rId7" name="cBx_automatCopyFileWhenLoggin"/>
      </mc:Fallback>
    </mc:AlternateContent>
    <mc:AlternateContent xmlns:mc="http://schemas.openxmlformats.org/markup-compatibility/2006">
      <mc:Choice Requires="x14">
        <control shapeId="7169" r:id="rId9" name="cbx_dontShowEndedConstructions">
          <controlPr defaultSize="0" autoLine="0" r:id="rId10">
            <anchor moveWithCells="1" sizeWithCells="1">
              <from>
                <xdr:col>55</xdr:col>
                <xdr:colOff>447675</xdr:colOff>
                <xdr:row>6</xdr:row>
                <xdr:rowOff>180975</xdr:rowOff>
              </from>
              <to>
                <xdr:col>63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7169" r:id="rId9" name="cbx_dontShowEndedConstructions"/>
      </mc:Fallback>
    </mc:AlternateContent>
    <mc:AlternateContent xmlns:mc="http://schemas.openxmlformats.org/markup-compatibility/2006">
      <mc:Choice Requires="x14">
        <control shapeId="7172" r:id="rId11" name="Button 4">
          <controlPr defaultSize="0" print="0" autoFill="0" autoPict="0" macro="[0]!WywolajKopie">
            <anchor moveWithCells="1" sizeWithCells="1">
              <from>
                <xdr:col>47</xdr:col>
                <xdr:colOff>133350</xdr:colOff>
                <xdr:row>6</xdr:row>
                <xdr:rowOff>76200</xdr:rowOff>
              </from>
              <to>
                <xdr:col>49</xdr:col>
                <xdr:colOff>419100</xdr:colOff>
                <xdr:row>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12" name="Button 5">
          <controlPr defaultSize="0" print="0" autoFill="0" autoPict="0" macro="[0]!GetFolderForUSer">
            <anchor moveWithCells="1" sizeWithCells="1">
              <from>
                <xdr:col>41</xdr:col>
                <xdr:colOff>561975</xdr:colOff>
                <xdr:row>19</xdr:row>
                <xdr:rowOff>85725</xdr:rowOff>
              </from>
              <to>
                <xdr:col>44</xdr:col>
                <xdr:colOff>342900</xdr:colOff>
                <xdr:row>20</xdr:row>
                <xdr:rowOff>171450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5A611-C74B-4A38-8159-A0AE0EEC39BD}">
  <sheetPr codeName="Arkusz8">
    <tabColor theme="0" tint="-0.14999847407452621"/>
  </sheetPr>
  <dimension ref="A1:AM50"/>
  <sheetViews>
    <sheetView showGridLines="0" zoomScale="93" zoomScaleNormal="93" workbookViewId="0">
      <selection activeCell="G62" sqref="G62"/>
    </sheetView>
  </sheetViews>
  <sheetFormatPr defaultColWidth="0" defaultRowHeight="15" x14ac:dyDescent="0.25"/>
  <cols>
    <col min="1" max="3" width="9.140625" customWidth="1"/>
    <col min="4" max="4" width="22.5703125" customWidth="1"/>
    <col min="5" max="5" width="28.140625" customWidth="1"/>
    <col min="6" max="6" width="19.7109375" customWidth="1"/>
    <col min="7" max="7" width="14.28515625" customWidth="1"/>
    <col min="8" max="8" width="255.5703125" customWidth="1"/>
    <col min="9" max="37" width="9.140625" customWidth="1"/>
    <col min="38" max="39" width="0" hidden="1" customWidth="1"/>
    <col min="40" max="16384" width="9.140625" hidden="1"/>
  </cols>
  <sheetData>
    <row r="1" spans="1:3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3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</row>
    <row r="3" spans="1:39" ht="26.25" x14ac:dyDescent="0.4">
      <c r="A3" s="14"/>
      <c r="B3" s="14"/>
      <c r="C3" s="38" t="s">
        <v>100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</row>
    <row r="4" spans="1:3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spans="1:3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</row>
    <row r="6" spans="1:39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</row>
    <row r="8" spans="1:39" hidden="1" x14ac:dyDescent="0.25"/>
    <row r="9" spans="1:39" hidden="1" x14ac:dyDescent="0.25"/>
    <row r="10" spans="1:39" hidden="1" x14ac:dyDescent="0.25"/>
    <row r="11" spans="1:39" hidden="1" x14ac:dyDescent="0.25"/>
    <row r="12" spans="1:39" hidden="1" x14ac:dyDescent="0.25"/>
    <row r="13" spans="1:39" hidden="1" x14ac:dyDescent="0.25"/>
    <row r="14" spans="1:39" hidden="1" x14ac:dyDescent="0.25"/>
    <row r="15" spans="1:39" hidden="1" x14ac:dyDescent="0.25"/>
    <row r="16" spans="1:39" hidden="1" x14ac:dyDescent="0.25"/>
    <row r="17" spans="3:8" hidden="1" x14ac:dyDescent="0.25"/>
    <row r="20" spans="3:8" x14ac:dyDescent="0.25">
      <c r="C20" s="81" t="s">
        <v>95</v>
      </c>
      <c r="D20" s="81" t="s">
        <v>96</v>
      </c>
      <c r="E20" s="81" t="s">
        <v>97</v>
      </c>
      <c r="F20" s="81" t="s">
        <v>22</v>
      </c>
      <c r="G20" s="81" t="s">
        <v>98</v>
      </c>
      <c r="H20" s="81" t="s">
        <v>99</v>
      </c>
    </row>
    <row r="21" spans="3:8" x14ac:dyDescent="0.25">
      <c r="C21" s="45">
        <v>1</v>
      </c>
      <c r="D21" s="45" t="s">
        <v>123</v>
      </c>
      <c r="E21" s="45" t="s">
        <v>124</v>
      </c>
      <c r="F21" s="87">
        <v>45047.902349537035</v>
      </c>
      <c r="G21" s="45" t="s">
        <v>125</v>
      </c>
      <c r="H21" s="45" t="s">
        <v>125</v>
      </c>
    </row>
    <row r="22" spans="3:8" x14ac:dyDescent="0.25">
      <c r="C22" s="45">
        <v>2</v>
      </c>
      <c r="D22" s="45" t="s">
        <v>126</v>
      </c>
      <c r="E22" s="45" t="s">
        <v>124</v>
      </c>
      <c r="F22" s="87">
        <v>45047.902349537035</v>
      </c>
      <c r="G22" s="45" t="s">
        <v>125</v>
      </c>
      <c r="H22" s="45" t="s">
        <v>125</v>
      </c>
    </row>
    <row r="23" spans="3:8" x14ac:dyDescent="0.25">
      <c r="C23" s="45"/>
      <c r="D23" s="45"/>
      <c r="E23" s="45"/>
      <c r="F23" s="87"/>
      <c r="G23" s="45"/>
      <c r="H23" s="45"/>
    </row>
    <row r="24" spans="3:8" x14ac:dyDescent="0.25">
      <c r="C24" s="45"/>
      <c r="D24" s="45"/>
      <c r="E24" s="45"/>
      <c r="F24" s="87"/>
      <c r="G24" s="45"/>
      <c r="H24" s="45"/>
    </row>
    <row r="25" spans="3:8" x14ac:dyDescent="0.25">
      <c r="C25" s="45"/>
      <c r="D25" s="45"/>
      <c r="E25" s="45"/>
      <c r="F25" s="87"/>
      <c r="G25" s="45"/>
      <c r="H25" s="45"/>
    </row>
    <row r="26" spans="3:8" x14ac:dyDescent="0.25">
      <c r="F26" s="94"/>
    </row>
    <row r="27" spans="3:8" x14ac:dyDescent="0.25">
      <c r="F27" s="94"/>
    </row>
    <row r="28" spans="3:8" x14ac:dyDescent="0.25">
      <c r="F28" s="94"/>
    </row>
    <row r="29" spans="3:8" x14ac:dyDescent="0.25">
      <c r="F29" s="94"/>
    </row>
    <row r="30" spans="3:8" x14ac:dyDescent="0.25">
      <c r="F30" s="94"/>
    </row>
    <row r="31" spans="3:8" x14ac:dyDescent="0.25">
      <c r="F31" s="94"/>
    </row>
    <row r="32" spans="3:8" x14ac:dyDescent="0.25">
      <c r="F32" s="94"/>
    </row>
    <row r="33" spans="6:6" x14ac:dyDescent="0.25">
      <c r="F33" s="94"/>
    </row>
    <row r="34" spans="6:6" x14ac:dyDescent="0.25">
      <c r="F34" s="94"/>
    </row>
    <row r="35" spans="6:6" x14ac:dyDescent="0.25">
      <c r="F35" s="94"/>
    </row>
    <row r="36" spans="6:6" x14ac:dyDescent="0.25">
      <c r="F36" s="94"/>
    </row>
    <row r="37" spans="6:6" x14ac:dyDescent="0.25">
      <c r="F37" s="94"/>
    </row>
    <row r="38" spans="6:6" x14ac:dyDescent="0.25">
      <c r="F38" s="94"/>
    </row>
    <row r="39" spans="6:6" x14ac:dyDescent="0.25">
      <c r="F39" s="94"/>
    </row>
    <row r="40" spans="6:6" x14ac:dyDescent="0.25">
      <c r="F40" s="94"/>
    </row>
    <row r="41" spans="6:6" x14ac:dyDescent="0.25">
      <c r="F41" s="94"/>
    </row>
    <row r="42" spans="6:6" x14ac:dyDescent="0.25">
      <c r="F42" s="94"/>
    </row>
    <row r="43" spans="6:6" x14ac:dyDescent="0.25">
      <c r="F43" s="94"/>
    </row>
    <row r="44" spans="6:6" x14ac:dyDescent="0.25">
      <c r="F44" s="94"/>
    </row>
    <row r="45" spans="6:6" x14ac:dyDescent="0.25">
      <c r="F45" s="94"/>
    </row>
    <row r="46" spans="6:6" x14ac:dyDescent="0.25">
      <c r="F46" s="94"/>
    </row>
    <row r="47" spans="6:6" x14ac:dyDescent="0.25">
      <c r="F47" s="94"/>
    </row>
    <row r="48" spans="6:6" x14ac:dyDescent="0.25">
      <c r="F48" s="94"/>
    </row>
    <row r="49" spans="6:6" x14ac:dyDescent="0.25">
      <c r="F49" s="94"/>
    </row>
    <row r="50" spans="6:6" x14ac:dyDescent="0.25">
      <c r="F50" s="94"/>
    </row>
  </sheetData>
  <sheetProtection sheet="1" objects="1" scenarios="1" formatColumns="0" formatRows="0" sort="0" autoFilter="0" pivotTables="0"/>
  <autoFilter ref="C20:H23" xr:uid="{DA35A611-C74B-4A38-8159-A0AE0EEC39BD}"/>
  <conditionalFormatting sqref="C21:H3300">
    <cfRule type="expression" dxfId="0" priority="1">
      <formula>$C21&lt;&gt;""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FB0A-FCC1-44D7-88A5-A517FA238EA4}">
  <sheetPr codeName="Arkusz7">
    <tabColor theme="0" tint="-0.14999847407452621"/>
  </sheetPr>
  <dimension ref="A1:Z27"/>
  <sheetViews>
    <sheetView showGridLines="0" workbookViewId="0">
      <selection activeCell="O41" sqref="O41"/>
    </sheetView>
  </sheetViews>
  <sheetFormatPr defaultRowHeight="15" x14ac:dyDescent="0.25"/>
  <cols>
    <col min="1" max="1" width="5.140625" customWidth="1"/>
    <col min="2" max="2" width="6.140625" customWidth="1"/>
    <col min="11" max="11" width="12.28515625" customWidth="1"/>
    <col min="16" max="16" width="13.5703125" customWidth="1"/>
    <col min="17" max="17" width="13" customWidth="1"/>
    <col min="18" max="18" width="17.85546875" customWidth="1"/>
    <col min="19" max="19" width="23.140625" customWidth="1"/>
    <col min="20" max="20" width="22.42578125" customWidth="1"/>
    <col min="21" max="21" width="15" customWidth="1"/>
  </cols>
  <sheetData>
    <row r="1" spans="1:26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26.25" x14ac:dyDescent="0.4">
      <c r="A3" s="14"/>
      <c r="B3" s="14"/>
      <c r="C3" s="14"/>
      <c r="D3" s="38" t="s">
        <v>62</v>
      </c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.75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spans="1:26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idden="1" x14ac:dyDescent="0.25"/>
    <row r="9" spans="1:26" hidden="1" x14ac:dyDescent="0.25"/>
    <row r="10" spans="1:26" hidden="1" x14ac:dyDescent="0.25"/>
    <row r="11" spans="1:26" hidden="1" x14ac:dyDescent="0.25"/>
    <row r="12" spans="1:26" hidden="1" x14ac:dyDescent="0.25"/>
    <row r="13" spans="1:26" hidden="1" x14ac:dyDescent="0.25"/>
    <row r="14" spans="1:26" hidden="1" x14ac:dyDescent="0.25"/>
    <row r="15" spans="1:26" hidden="1" x14ac:dyDescent="0.25"/>
    <row r="16" spans="1:26" hidden="1" x14ac:dyDescent="0.25"/>
    <row r="17" spans="3:21" hidden="1" x14ac:dyDescent="0.25"/>
    <row r="20" spans="3:21" ht="45" x14ac:dyDescent="0.25">
      <c r="C20" s="45" t="s">
        <v>4</v>
      </c>
      <c r="D20" s="45" t="s">
        <v>15</v>
      </c>
      <c r="E20" s="46" t="s">
        <v>0</v>
      </c>
      <c r="F20" s="46" t="s">
        <v>9</v>
      </c>
      <c r="G20" s="46" t="s">
        <v>10</v>
      </c>
      <c r="H20" s="46" t="s">
        <v>1</v>
      </c>
      <c r="I20" s="46" t="s">
        <v>2</v>
      </c>
      <c r="J20" s="46" t="s">
        <v>11</v>
      </c>
      <c r="K20" s="46" t="s">
        <v>29</v>
      </c>
      <c r="L20" s="47" t="s">
        <v>5</v>
      </c>
      <c r="M20" s="47" t="s">
        <v>6</v>
      </c>
      <c r="N20" s="47" t="s">
        <v>7</v>
      </c>
      <c r="O20" s="47" t="s">
        <v>61</v>
      </c>
      <c r="P20" s="47" t="s">
        <v>8</v>
      </c>
      <c r="Q20" s="46" t="s">
        <v>12</v>
      </c>
      <c r="R20" s="46" t="s">
        <v>13</v>
      </c>
      <c r="S20" s="46" t="s">
        <v>17</v>
      </c>
      <c r="T20" s="46" t="s">
        <v>22</v>
      </c>
      <c r="U20" s="46" t="s">
        <v>65</v>
      </c>
    </row>
    <row r="21" spans="3:21" x14ac:dyDescent="0.25"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50"/>
      <c r="U21" s="45"/>
    </row>
    <row r="22" spans="3:21" x14ac:dyDescent="0.25"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50"/>
      <c r="U22" s="45"/>
    </row>
    <row r="23" spans="3:21" x14ac:dyDescent="0.25"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50"/>
      <c r="U23" s="45"/>
    </row>
    <row r="24" spans="3:21" x14ac:dyDescent="0.25"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50"/>
      <c r="U24" s="45"/>
    </row>
    <row r="25" spans="3:21" x14ac:dyDescent="0.25"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50"/>
      <c r="U25" s="45"/>
    </row>
    <row r="26" spans="3:21" x14ac:dyDescent="0.25"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50"/>
      <c r="U26" s="45"/>
    </row>
    <row r="27" spans="3:21" x14ac:dyDescent="0.25"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4</vt:i4>
      </vt:variant>
    </vt:vector>
  </HeadingPairs>
  <TitlesOfParts>
    <vt:vector size="13" baseType="lpstr">
      <vt:lpstr>HOME</vt:lpstr>
      <vt:lpstr>Spis KPO</vt:lpstr>
      <vt:lpstr>Budowy</vt:lpstr>
      <vt:lpstr>Weryfikacja KEO</vt:lpstr>
      <vt:lpstr>Historia weryfikacji</vt:lpstr>
      <vt:lpstr>Zestawienia</vt:lpstr>
      <vt:lpstr>Ustawienia</vt:lpstr>
      <vt:lpstr>LOGI</vt:lpstr>
      <vt:lpstr>baza_danych KPO</vt:lpstr>
      <vt:lpstr>chosenYear</vt:lpstr>
      <vt:lpstr>chosenYear_veryfication</vt:lpstr>
      <vt:lpstr>valueToCopy</vt:lpstr>
      <vt:lpstr>ver_globalStatus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2023-03-24T21:19:14Z</dcterms:created>
  <dcterms:modified xsi:type="dcterms:W3CDTF">2023-05-01T19:39:33Z</dcterms:modified>
</cp:coreProperties>
</file>